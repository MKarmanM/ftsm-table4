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2" activeTab="2"/>
  </bookViews>
  <sheets>
    <sheet name="Data" sheetId="1" state="hidden" r:id="rId3"/>
    <sheet name="GUIDE" sheetId="2" state="hidden" r:id="rId4"/>
    <sheet name="FORM" sheetId="3" state="visible" r:id="rId5"/>
    <sheet name="INDEX" sheetId="4" state="visible" r:id="rId6"/>
  </sheets>
  <definedNames>
    <definedName function="false" hidden="false" localSheetId="2" name="_xlnm.Print_Area" vbProcedure="false">FORM!$A$1:$AB$122</definedName>
    <definedName function="false" hidden="false" name="ClearForm" vbProcedure="false">"Picture 2"</definedName>
    <definedName function="false" hidden="false" name="UpdateIndex" vbProcedure="false">"Picture 3"</definedName>
    <definedName function="false" hidden="false" localSheetId="1" name="CopySheet" vbProcedure="false">"Picture 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9" authorId="0">
      <text>
        <r>
          <rPr>
            <sz val="10"/>
            <rFont val="Arial"/>
            <family val="2"/>
          </rPr>
          <t xml:space="preserve">======
ID#AAABIi9jsIQ
user    (2024-03-05 05:15:20)
Perlu memasukan pensyarah yang mengajar. Jika bilangan pensyarah melebihi 3, senaraikan penyelaras atau pensyarah yang menjadi pemilik kursus.</t>
        </r>
      </text>
      <mc:AlternateContent>
        <mc:Choice Requires="v2">
          <commentPr autoFill="true" autoScale="false" colHidden="false" locked="false" rowHidden="false" textHAlign="justify" textVAlign="top">
            <anchor moveWithCells="false" sizeWithCells="false">
              <xdr:from>
                <xdr:col>3</xdr:col>
                <xdr:colOff>30</xdr:colOff>
                <xdr:row>9</xdr:row>
                <xdr:rowOff>0</xdr:rowOff>
              </xdr:from>
              <xdr:to>
                <xdr:col>6</xdr:col>
                <xdr:colOff>49</xdr:colOff>
                <xdr:row>13</xdr:row>
                <xdr:rowOff>52</xdr:rowOff>
              </xdr:to>
            </anchor>
          </commentPr>
        </mc:Choice>
        <mc:Fallback/>
      </mc:AlternateContent>
    </comment>
    <comment ref="C16" authorId="0">
      <text>
        <r>
          <rPr>
            <sz val="10"/>
            <rFont val="Arial"/>
            <family val="2"/>
          </rPr>
          <t xml:space="preserve">======
ID#AAABIi9jsIU
user    (2024-03-05 05:15:20)
Perlu letak jenis dan tahap taksonomi serta HPP. Sebagai contoh  AAAA (C2, HPP1)</t>
        </r>
      </text>
      <mc:AlternateContent>
        <mc:Choice Requires="v2">
          <commentPr autoFill="true" autoScale="false" colHidden="false" locked="false" rowHidden="false" textHAlign="justify" textVAlign="top">
            <anchor moveWithCells="false" sizeWithCells="false">
              <xdr:from>
                <xdr:col>3</xdr:col>
                <xdr:colOff>30</xdr:colOff>
                <xdr:row>15</xdr:row>
                <xdr:rowOff>32</xdr:rowOff>
              </xdr:from>
              <xdr:to>
                <xdr:col>6</xdr:col>
                <xdr:colOff>49</xdr:colOff>
                <xdr:row>20</xdr:row>
                <xdr:rowOff>20</xdr:rowOff>
              </xdr:to>
            </anchor>
          </commentPr>
        </mc:Choice>
        <mc:Fallback/>
      </mc:AlternateContent>
    </comment>
    <comment ref="D37" authorId="0">
      <text>
        <r>
          <rPr>
            <sz val="10"/>
            <rFont val="Arial"/>
            <family val="2"/>
          </rPr>
          <t xml:space="preserve">======
ID#AAABIi9jsIo
user    (2024-03-05 05:15:20)
Perlu dipilih mengikut HPK.</t>
        </r>
      </text>
      <mc:AlternateContent>
        <mc:Choice Requires="v2">
          <commentPr autoFill="true" autoScale="false" colHidden="false" locked="false" rowHidden="false" textHAlign="justify" textVAlign="top">
            <anchor moveWithCells="false" sizeWithCells="false">
              <xdr:from>
                <xdr:col>4</xdr:col>
                <xdr:colOff>30</xdr:colOff>
                <xdr:row>35</xdr:row>
                <xdr:rowOff>4</xdr:rowOff>
              </xdr:from>
              <xdr:to>
                <xdr:col>7</xdr:col>
                <xdr:colOff>33</xdr:colOff>
                <xdr:row>40</xdr:row>
                <xdr:rowOff>12</xdr:rowOff>
              </xdr:to>
            </anchor>
          </commentPr>
        </mc:Choice>
        <mc:Fallback/>
      </mc:AlternateContent>
    </comment>
    <comment ref="D56" authorId="0">
      <text>
        <r>
          <rPr>
            <sz val="10"/>
            <rFont val="Arial"/>
            <family val="2"/>
          </rPr>
          <t xml:space="preserve">======
ID#AAABIi9jsIM
user    (2024-03-05 05:15:20)
Masukan topik sahaja bukan aktiviti. Boleh mengikut topik atau bilangan minggu pengkuliahan</t>
        </r>
      </text>
      <mc:AlternateContent>
        <mc:Choice Requires="v2">
          <commentPr autoFill="true" autoScale="false" colHidden="false" locked="false" rowHidden="false" textHAlign="justify" textVAlign="top">
            <anchor moveWithCells="false" sizeWithCells="false">
              <xdr:from>
                <xdr:col>4</xdr:col>
                <xdr:colOff>30</xdr:colOff>
                <xdr:row>53</xdr:row>
                <xdr:rowOff>0</xdr:rowOff>
              </xdr:from>
              <xdr:to>
                <xdr:col>7</xdr:col>
                <xdr:colOff>33</xdr:colOff>
                <xdr:row>57</xdr:row>
                <xdr:rowOff>56</xdr:rowOff>
              </xdr:to>
            </anchor>
          </commentPr>
        </mc:Choice>
        <mc:Fallback/>
      </mc:AlternateContent>
    </comment>
    <comment ref="E83" authorId="0">
      <text>
        <r>
          <rPr>
            <sz val="10"/>
            <rFont val="Arial"/>
            <family val="2"/>
          </rPr>
          <t xml:space="preserve">======
ID#AAABIi9jsIs
user    (2024-03-05 05:15:20)
Contoh
Ujian, Kuiz, Peperiksaan Akhir, Pembentangan, Laporan, Porftfolio, Esei, Ujian Praktikal</t>
        </r>
      </text>
      <mc:AlternateContent>
        <mc:Choice Requires="v2">
          <commentPr autoFill="true" autoScale="false" colHidden="false" locked="false" rowHidden="false" textHAlign="justify" textVAlign="top">
            <anchor moveWithCells="false" sizeWithCells="false">
              <xdr:from>
                <xdr:col>5</xdr:col>
                <xdr:colOff>9</xdr:colOff>
                <xdr:row>81</xdr:row>
                <xdr:rowOff>0</xdr:rowOff>
              </xdr:from>
              <xdr:to>
                <xdr:col>8</xdr:col>
                <xdr:colOff>33</xdr:colOff>
                <xdr:row>85</xdr:row>
                <xdr:rowOff>12</xdr:rowOff>
              </xdr:to>
            </anchor>
          </commentPr>
        </mc:Choice>
        <mc:Fallback/>
      </mc:AlternateContent>
    </comment>
    <comment ref="E91" authorId="0">
      <text>
        <r>
          <rPr>
            <sz val="10"/>
            <rFont val="Arial"/>
            <family val="2"/>
          </rPr>
          <t xml:space="preserve">======
ID#AAABIi9jsIY
user    (2024-03-05 05:15:20)
Contoh
Peperiksaan Akhir
Laporan Akhir
Pembentangan Akhir
Peperiksaan Praktikal Akhir</t>
        </r>
      </text>
      <mc:AlternateContent>
        <mc:Choice Requires="v2">
          <commentPr autoFill="true" autoScale="false" colHidden="false" locked="false" rowHidden="false" textHAlign="justify" textVAlign="top">
            <anchor moveWithCells="false" sizeWithCells="false">
              <xdr:from>
                <xdr:col>5</xdr:col>
                <xdr:colOff>9</xdr:colOff>
                <xdr:row>88</xdr:row>
                <xdr:rowOff>12</xdr:rowOff>
              </xdr:from>
              <xdr:to>
                <xdr:col>8</xdr:col>
                <xdr:colOff>33</xdr:colOff>
                <xdr:row>95</xdr:row>
                <xdr:rowOff>8</xdr:rowOff>
              </xdr:to>
            </anchor>
          </commentPr>
        </mc:Choice>
        <mc:Fallback/>
      </mc:AlternateContent>
    </comment>
    <comment ref="J46" authorId="0">
      <text>
        <r>
          <rPr>
            <sz val="10"/>
            <rFont val="Arial"/>
            <family val="2"/>
          </rPr>
          <t xml:space="preserve">======
ID#AAABIi9jsIA
user    (2024-03-05 05:15:20)
Boleh pilih mengikut HPK atau tidak. Bilangan tidak perlu mengikut HPK tetapi digalakan menggambarkan HPK</t>
        </r>
      </text>
      <mc:AlternateContent>
        <mc:Choice Requires="v2">
          <commentPr autoFill="true" autoScale="false" colHidden="false" locked="false" rowHidden="false" textHAlign="justify" textVAlign="top">
            <anchor moveWithCells="false" sizeWithCells="false">
              <xdr:from>
                <xdr:col>9</xdr:col>
                <xdr:colOff>33</xdr:colOff>
                <xdr:row>43</xdr:row>
                <xdr:rowOff>4</xdr:rowOff>
              </xdr:from>
              <xdr:to>
                <xdr:col>13</xdr:col>
                <xdr:colOff>33</xdr:colOff>
                <xdr:row>48</xdr:row>
                <xdr:rowOff>2</xdr:rowOff>
              </xdr:to>
            </anchor>
          </commentPr>
        </mc:Choice>
        <mc:Fallback/>
      </mc:AlternateContent>
    </comment>
    <comment ref="J50" authorId="0">
      <text>
        <r>
          <rPr>
            <sz val="10"/>
            <rFont val="Arial"/>
            <family val="2"/>
          </rPr>
          <t xml:space="preserve">======
ID#AAABIi9jsII
user    (2024-03-05 05:15:20)
Selain daripada senarai.</t>
        </r>
      </text>
      <mc:AlternateContent>
        <mc:Choice Requires="v2">
          <commentPr autoFill="true" autoScale="false" colHidden="false" locked="false" rowHidden="false" textHAlign="justify" textVAlign="top">
            <anchor moveWithCells="false" sizeWithCells="false">
              <xdr:from>
                <xdr:col>9</xdr:col>
                <xdr:colOff>33</xdr:colOff>
                <xdr:row>46</xdr:row>
                <xdr:rowOff>24</xdr:rowOff>
              </xdr:from>
              <xdr:to>
                <xdr:col>13</xdr:col>
                <xdr:colOff>33</xdr:colOff>
                <xdr:row>50</xdr:row>
                <xdr:rowOff>36</xdr:rowOff>
              </xdr:to>
            </anchor>
          </commentPr>
        </mc:Choice>
        <mc:Fallback/>
      </mc:AlternateContent>
    </comment>
    <comment ref="M59" authorId="0">
      <text>
        <r>
          <rPr>
            <sz val="10"/>
            <rFont val="Arial"/>
            <family val="2"/>
          </rPr>
          <t xml:space="preserve">======
ID#AAABIi9jsIk
user    (2024-03-05 05:15:20)
L- Kuliah/Lecture</t>
        </r>
      </text>
      <mc:AlternateContent>
        <mc:Choice Requires="v2">
          <commentPr autoFill="true" autoScale="false" colHidden="false" locked="false" rowHidden="false" textHAlign="justify" textVAlign="top">
            <anchor moveWithCells="false" sizeWithCells="false">
              <xdr:from>
                <xdr:col>12</xdr:col>
                <xdr:colOff>33</xdr:colOff>
                <xdr:row>57</xdr:row>
                <xdr:rowOff>0</xdr:rowOff>
              </xdr:from>
              <xdr:to>
                <xdr:col>16</xdr:col>
                <xdr:colOff>33</xdr:colOff>
                <xdr:row>61</xdr:row>
                <xdr:rowOff>20</xdr:rowOff>
              </xdr:to>
            </anchor>
          </commentPr>
        </mc:Choice>
        <mc:Fallback/>
      </mc:AlternateContent>
    </comment>
    <comment ref="N59" authorId="0">
      <text>
        <r>
          <rPr>
            <sz val="10"/>
            <rFont val="Arial"/>
            <family val="2"/>
          </rPr>
          <t xml:space="preserve">======
ID#AAABIi9jsIw
user    (2024-03-05 05:15:20)
Tutorial</t>
        </r>
      </text>
      <mc:AlternateContent>
        <mc:Choice Requires="v2">
          <commentPr autoFill="true" autoScale="false" colHidden="false" locked="false" rowHidden="false" textHAlign="justify" textVAlign="top">
            <anchor moveWithCells="false" sizeWithCells="false">
              <xdr:from>
                <xdr:col>13</xdr:col>
                <xdr:colOff>33</xdr:colOff>
                <xdr:row>57</xdr:row>
                <xdr:rowOff>0</xdr:rowOff>
              </xdr:from>
              <xdr:to>
                <xdr:col>17</xdr:col>
                <xdr:colOff>33</xdr:colOff>
                <xdr:row>61</xdr:row>
                <xdr:rowOff>20</xdr:rowOff>
              </xdr:to>
            </anchor>
          </commentPr>
        </mc:Choice>
        <mc:Fallback/>
      </mc:AlternateContent>
    </comment>
    <comment ref="O59" authorId="0">
      <text>
        <r>
          <rPr>
            <sz val="10"/>
            <rFont val="Arial"/>
            <family val="2"/>
          </rPr>
          <t xml:space="preserve">======
ID#AAABIi9jsIc
user    (2024-03-05 05:15:20)
Practical/Praktikal/Amali</t>
        </r>
      </text>
      <mc:AlternateContent>
        <mc:Choice Requires="v2">
          <commentPr autoFill="true" autoScale="false" colHidden="false" locked="false" rowHidden="false" textHAlign="justify" textVAlign="top">
            <anchor moveWithCells="false" sizeWithCells="false">
              <xdr:from>
                <xdr:col>14</xdr:col>
                <xdr:colOff>33</xdr:colOff>
                <xdr:row>57</xdr:row>
                <xdr:rowOff>0</xdr:rowOff>
              </xdr:from>
              <xdr:to>
                <xdr:col>18</xdr:col>
                <xdr:colOff>33</xdr:colOff>
                <xdr:row>61</xdr:row>
                <xdr:rowOff>20</xdr:rowOff>
              </xdr:to>
            </anchor>
          </commentPr>
        </mc:Choice>
        <mc:Fallback/>
      </mc:AlternateContent>
    </comment>
    <comment ref="P59" authorId="0">
      <text>
        <r>
          <rPr>
            <sz val="10"/>
            <rFont val="Arial"/>
            <family val="2"/>
          </rPr>
          <t xml:space="preserve">======
ID#AAABIi9jsIg
user    (2024-03-05 05:15:20)
Selain daripada L/T/P. Contohnya pemantauan dll</t>
        </r>
      </text>
      <mc:AlternateContent>
        <mc:Choice Requires="v2">
          <commentPr autoFill="true" autoScale="false" colHidden="false" locked="false" rowHidden="false" textHAlign="justify" textVAlign="top">
            <anchor moveWithCells="false" sizeWithCells="false">
              <xdr:from>
                <xdr:col>15</xdr:col>
                <xdr:colOff>33</xdr:colOff>
                <xdr:row>57</xdr:row>
                <xdr:rowOff>0</xdr:rowOff>
              </xdr:from>
              <xdr:to>
                <xdr:col>19</xdr:col>
                <xdr:colOff>33</xdr:colOff>
                <xdr:row>61</xdr:row>
                <xdr:rowOff>20</xdr:rowOff>
              </xdr:to>
            </anchor>
          </commentPr>
        </mc:Choice>
        <mc:Fallback/>
      </mc:AlternateContent>
    </comment>
    <comment ref="R29" authorId="0">
      <text>
        <r>
          <rPr>
            <sz val="10"/>
            <rFont val="Arial"/>
            <family val="2"/>
          </rPr>
          <t xml:space="preserve">======
ID#AAABIi9jsH8
user    (2024-03-05 05:15:20)
Contoh
Kuliah, Tutorial, Kajian Kes, Perbincangan Kumpulan, Praktikal, Demonstrasi</t>
        </r>
      </text>
      <mc:AlternateContent>
        <mc:Choice Requires="v2">
          <commentPr autoFill="true" autoScale="false" colHidden="false" locked="false" rowHidden="false" textHAlign="justify" textVAlign="top">
            <anchor moveWithCells="false" sizeWithCells="false">
              <xdr:from>
                <xdr:col>17</xdr:col>
                <xdr:colOff>33</xdr:colOff>
                <xdr:row>27</xdr:row>
                <xdr:rowOff>72</xdr:rowOff>
              </xdr:from>
              <xdr:to>
                <xdr:col>21</xdr:col>
                <xdr:colOff>30</xdr:colOff>
                <xdr:row>32</xdr:row>
                <xdr:rowOff>32</xdr:rowOff>
              </xdr:to>
            </anchor>
          </commentPr>
        </mc:Choice>
        <mc:Fallback/>
      </mc:AlternateContent>
    </comment>
    <comment ref="W29" authorId="0">
      <text>
        <r>
          <rPr>
            <sz val="10"/>
            <rFont val="Arial"/>
            <family val="2"/>
          </rPr>
          <t xml:space="preserve">======
ID#AAABIi9jsIE
user    (2024-03-05 05:15:20)
Contoh
Ujian, Kuiz, Peperiksaan Akhir, Pembentangan, Laporan, Porftfolio, Esei, Ujian Praktikal</t>
        </r>
      </text>
      <mc:AlternateContent>
        <mc:Choice Requires="v2">
          <commentPr autoFill="true" autoScale="false" colHidden="false" locked="false" rowHidden="false" textHAlign="justify" textVAlign="top">
            <anchor moveWithCells="false" sizeWithCells="false">
              <xdr:from>
                <xdr:col>22</xdr:col>
                <xdr:colOff>57</xdr:colOff>
                <xdr:row>27</xdr:row>
                <xdr:rowOff>72</xdr:rowOff>
              </xdr:from>
              <xdr:to>
                <xdr:col>26</xdr:col>
                <xdr:colOff>20</xdr:colOff>
                <xdr:row>32</xdr:row>
                <xdr:rowOff>32</xdr:rowOff>
              </xdr:to>
            </anchor>
          </commentPr>
        </mc:Choice>
        <mc:Fallback/>
      </mc:AlternateContent>
    </comment>
  </commentList>
</comments>
</file>

<file path=xl/sharedStrings.xml><?xml version="1.0" encoding="utf-8"?>
<sst xmlns="http://schemas.openxmlformats.org/spreadsheetml/2006/main" count="256" uniqueCount="211">
  <si>
    <t xml:space="preserve">Tick</t>
  </si>
  <si>
    <t xml:space="preserve">Semester</t>
  </si>
  <si>
    <t xml:space="preserve">Year</t>
  </si>
  <si>
    <t xml:space="preserve">Skills</t>
  </si>
  <si>
    <t xml:space="preserve">√</t>
  </si>
  <si>
    <t xml:space="preserve">Knowledge and understanding   </t>
  </si>
  <si>
    <t xml:space="preserve">Cognitive skills  </t>
  </si>
  <si>
    <t xml:space="preserve">Interpersonal skills</t>
  </si>
  <si>
    <t xml:space="preserve">Practical skills</t>
  </si>
  <si>
    <t xml:space="preserve">Communication skills</t>
  </si>
  <si>
    <t xml:space="preserve">Digital skills  </t>
  </si>
  <si>
    <t xml:space="preserve">Numeracy skills  </t>
  </si>
  <si>
    <t xml:space="preserve">Leadership, autonomy and responsibility  </t>
  </si>
  <si>
    <t xml:space="preserve">Personal skills  </t>
  </si>
  <si>
    <t xml:space="preserve">Entrepreneurial skills  </t>
  </si>
  <si>
    <t xml:space="preserve">Ethics and professionalism. </t>
  </si>
  <si>
    <t xml:space="preserve">Summary of Course Information Template </t>
  </si>
  <si>
    <t xml:space="preserve">(Table4 v2.0 June 2020)</t>
  </si>
  <si>
    <t xml:space="preserve">Please follow the instructions below in sequential order to provide the information on the courses in the programme. Following are the sequential instructions to fill in course information of the programme:-</t>
  </si>
  <si>
    <t xml:space="preserve">1-</t>
  </si>
  <si>
    <t xml:space="preserve">To create a new course information, click 'FORM' worksheet.</t>
  </si>
  <si>
    <t xml:space="preserve">2-</t>
  </si>
  <si>
    <t xml:space="preserve">Fill in the required information for the course. Course code is a mandatory field and it is unique. </t>
  </si>
  <si>
    <r>
      <rPr>
        <sz val="12"/>
        <color theme="1"/>
        <rFont val="Calibri"/>
        <family val="2"/>
        <charset val="1"/>
      </rPr>
      <t xml:space="preserve">Data for cells in dark </t>
    </r>
    <r>
      <rPr>
        <b val="true"/>
        <sz val="12"/>
        <color rgb="FF548135"/>
        <rFont val="Calibri"/>
        <family val="2"/>
        <charset val="1"/>
      </rPr>
      <t xml:space="preserve">green</t>
    </r>
    <r>
      <rPr>
        <sz val="12"/>
        <color theme="1"/>
        <rFont val="Calibri"/>
        <family val="2"/>
        <charset val="1"/>
      </rPr>
      <t xml:space="preserve"> color will be generated automatically.</t>
    </r>
  </si>
  <si>
    <t xml:space="preserve">3-</t>
  </si>
  <si>
    <r>
      <rPr>
        <sz val="12"/>
        <color theme="1"/>
        <rFont val="Calibri"/>
        <family val="2"/>
        <charset val="1"/>
      </rPr>
      <t xml:space="preserve">Once completed, click </t>
    </r>
    <r>
      <rPr>
        <b val="true"/>
        <i val="true"/>
        <sz val="12"/>
        <color theme="1"/>
        <rFont val="Calibri"/>
        <family val="2"/>
        <charset val="1"/>
      </rPr>
      <t xml:space="preserve">'Copy Sheet</t>
    </r>
    <r>
      <rPr>
        <sz val="12"/>
        <color theme="1"/>
        <rFont val="Calibri"/>
        <family val="2"/>
        <charset val="1"/>
      </rPr>
      <t xml:space="preserve">' button that available on the top right corner of the form.</t>
    </r>
  </si>
  <si>
    <t xml:space="preserve">(A new worksheet will be replicated with a default name which is the course code)</t>
  </si>
  <si>
    <t xml:space="preserve">4-</t>
  </si>
  <si>
    <t xml:space="preserve">To provide information for the following course, return to the 'FORM' worksheet.</t>
  </si>
  <si>
    <t xml:space="preserve">You can create a new couse by filling all new information by repeating steps 1 to 3 OR just edit the relevant fields and repeat step 3. </t>
  </si>
  <si>
    <r>
      <rPr>
        <sz val="12"/>
        <color theme="1"/>
        <rFont val="Calibri"/>
        <family val="2"/>
        <charset val="1"/>
      </rPr>
      <t xml:space="preserve">Click </t>
    </r>
    <r>
      <rPr>
        <b val="true"/>
        <sz val="12"/>
        <color theme="1"/>
        <rFont val="Calibri"/>
        <family val="2"/>
        <charset val="1"/>
      </rPr>
      <t xml:space="preserve">‘Clear Form’</t>
    </r>
    <r>
      <rPr>
        <sz val="12"/>
        <color theme="1"/>
        <rFont val="Calibri"/>
        <family val="2"/>
        <charset val="1"/>
      </rPr>
      <t xml:space="preserve"> to fill in new information.</t>
    </r>
  </si>
  <si>
    <t xml:space="preserve">5-</t>
  </si>
  <si>
    <r>
      <rPr>
        <sz val="12"/>
        <color theme="1"/>
        <rFont val="Calibri"/>
        <family val="2"/>
        <charset val="1"/>
      </rPr>
      <t xml:space="preserve">Once all courses have been created, click </t>
    </r>
    <r>
      <rPr>
        <b val="true"/>
        <i val="true"/>
        <sz val="12"/>
        <color theme="1"/>
        <rFont val="Calibri"/>
        <family val="2"/>
        <charset val="1"/>
      </rPr>
      <t xml:space="preserve">'Update  Index'</t>
    </r>
    <r>
      <rPr>
        <sz val="12"/>
        <color theme="1"/>
        <rFont val="Calibri"/>
        <family val="2"/>
        <charset val="1"/>
      </rPr>
      <t xml:space="preserve"> button on the top right corner of the FORM worksheet.</t>
    </r>
  </si>
  <si>
    <t xml:space="preserve">6-</t>
  </si>
  <si>
    <r>
      <rPr>
        <sz val="12"/>
        <color theme="1"/>
        <rFont val="Calibri"/>
        <family val="2"/>
        <charset val="1"/>
      </rPr>
      <t xml:space="preserve">Go to </t>
    </r>
    <r>
      <rPr>
        <b val="true"/>
        <sz val="12"/>
        <color theme="1"/>
        <rFont val="Calibri"/>
        <family val="2"/>
        <charset val="1"/>
      </rPr>
      <t xml:space="preserve">'INDEX' </t>
    </r>
    <r>
      <rPr>
        <sz val="12"/>
        <color theme="1"/>
        <rFont val="Calibri"/>
        <family val="2"/>
        <charset val="1"/>
      </rPr>
      <t xml:space="preserve">worksheet to see the summary index for all the courses of the programme.</t>
    </r>
  </si>
  <si>
    <t xml:space="preserve">(All courses/ worksheet names will be populated together with % SLT for ODL courses)</t>
  </si>
  <si>
    <t xml:space="preserve">Note: This Table 4 and its SLT calculation are designed for home grown programme only.</t>
  </si>
  <si>
    <r>
      <rPr>
        <b val="true"/>
        <i val="true"/>
        <sz val="11"/>
        <color theme="1"/>
        <rFont val="Calibri"/>
        <family val="2"/>
        <charset val="1"/>
      </rPr>
      <t xml:space="preserve">Table 4: Summary of Course Information</t>
    </r>
    <r>
      <rPr>
        <b val="true"/>
        <sz val="11"/>
        <color theme="1"/>
        <rFont val="Calibri"/>
        <family val="2"/>
        <charset val="1"/>
      </rPr>
      <t xml:space="preserve"> / Jadual 4: Ringkasan Maklumat Kursus</t>
    </r>
  </si>
  <si>
    <r>
      <rPr>
        <i val="true"/>
        <sz val="11"/>
        <color theme="1"/>
        <rFont val="Calibri"/>
        <family val="2"/>
        <charset val="1"/>
      </rPr>
      <t xml:space="preserve">Course Name</t>
    </r>
    <r>
      <rPr>
        <sz val="11"/>
        <color theme="1"/>
        <rFont val="Calibri"/>
        <family val="2"/>
        <charset val="1"/>
      </rPr>
      <t xml:space="preserve">/Nama Kursus</t>
    </r>
  </si>
  <si>
    <r>
      <rPr>
        <i val="true"/>
        <sz val="11"/>
        <color theme="1"/>
        <rFont val="Calibri"/>
        <family val="2"/>
        <charset val="1"/>
      </rPr>
      <t xml:space="preserve">Course Code</t>
    </r>
    <r>
      <rPr>
        <sz val="11"/>
        <color theme="1"/>
        <rFont val="Calibri"/>
        <family val="2"/>
        <charset val="1"/>
      </rPr>
      <t xml:space="preserve">/ Kod Kursus</t>
    </r>
  </si>
  <si>
    <r>
      <rPr>
        <i val="true"/>
        <sz val="11"/>
        <color theme="1"/>
        <rFont val="Calibri"/>
        <family val="2"/>
        <charset val="1"/>
      </rPr>
      <t xml:space="preserve">Course Classification</t>
    </r>
    <r>
      <rPr>
        <sz val="11"/>
        <color theme="1"/>
        <rFont val="Calibri"/>
        <family val="2"/>
        <charset val="1"/>
      </rPr>
      <t xml:space="preserve"> /Klasifikasi Kursus</t>
    </r>
  </si>
  <si>
    <t xml:space="preserve">Compulsory/ Wajib Universiti
Citra Rentas (CR) C1 - C6</t>
  </si>
  <si>
    <r>
      <rPr>
        <i val="true"/>
        <sz val="11"/>
        <color theme="1"/>
        <rFont val="Calibri"/>
        <family val="2"/>
        <charset val="1"/>
      </rPr>
      <t xml:space="preserve">If CR, need to get domain verification from PPCU/
</t>
    </r>
    <r>
      <rPr>
        <sz val="11"/>
        <color theme="1"/>
        <rFont val="Calibri"/>
        <family val="2"/>
        <charset val="1"/>
      </rPr>
      <t xml:space="preserve">Jika CR, perlu dapatkan pengesahan domain dari PPCU</t>
    </r>
  </si>
  <si>
    <t xml:space="preserve">Domain</t>
  </si>
  <si>
    <r>
      <rPr>
        <i val="true"/>
        <sz val="11"/>
        <color theme="1"/>
        <rFont val="Calibri"/>
        <family val="2"/>
        <charset val="1"/>
      </rPr>
      <t xml:space="preserve">Synopsis</t>
    </r>
    <r>
      <rPr>
        <sz val="11"/>
        <color theme="1"/>
        <rFont val="Calibri"/>
        <family val="2"/>
        <charset val="1"/>
      </rPr>
      <t xml:space="preserve">/Sinopsis</t>
    </r>
  </si>
  <si>
    <r>
      <rPr>
        <i val="true"/>
        <sz val="11"/>
        <color theme="1"/>
        <rFont val="Calibri"/>
        <family val="2"/>
        <charset val="1"/>
      </rPr>
      <t xml:space="preserve">Name(s) of Academic Staff</t>
    </r>
    <r>
      <rPr>
        <sz val="11"/>
        <color theme="1"/>
        <rFont val="Calibri"/>
        <family val="2"/>
        <charset val="1"/>
      </rPr>
      <t xml:space="preserve">/ Nama Staf Akademik</t>
    </r>
  </si>
  <si>
    <t xml:space="preserve">Year Offered</t>
  </si>
  <si>
    <r>
      <rPr>
        <i val="true"/>
        <sz val="11"/>
        <color theme="1"/>
        <rFont val="Calibri"/>
        <family val="2"/>
        <charset val="1"/>
      </rPr>
      <t xml:space="preserve">Semester and Year offered</t>
    </r>
    <r>
      <rPr>
        <sz val="11"/>
        <color theme="1"/>
        <rFont val="Calibri"/>
        <family val="2"/>
        <charset val="1"/>
      </rPr>
      <t xml:space="preserve">/ Semester dan Tahun Penawaran</t>
    </r>
  </si>
  <si>
    <r>
      <rPr>
        <i val="true"/>
        <sz val="11"/>
        <color theme="1"/>
        <rFont val="Calibri"/>
        <family val="2"/>
        <charset val="1"/>
      </rPr>
      <t xml:space="preserve">Year Offered</t>
    </r>
    <r>
      <rPr>
        <sz val="11"/>
        <color theme="1"/>
        <rFont val="Calibri"/>
        <family val="2"/>
        <charset val="1"/>
      </rPr>
      <t xml:space="preserve">/ 
Tahun Penawaran </t>
    </r>
  </si>
  <si>
    <r>
      <rPr>
        <i val="true"/>
        <sz val="11"/>
        <color theme="1"/>
        <rFont val="Calibri"/>
        <family val="2"/>
        <charset val="1"/>
      </rPr>
      <t xml:space="preserve">Semester</t>
    </r>
    <r>
      <rPr>
        <sz val="11"/>
        <color theme="1"/>
        <rFont val="Calibri"/>
        <family val="2"/>
        <charset val="1"/>
      </rPr>
      <t xml:space="preserve">/
Semester</t>
    </r>
  </si>
  <si>
    <t xml:space="preserve">Remarks/ Catatan:</t>
  </si>
  <si>
    <r>
      <rPr>
        <i val="true"/>
        <sz val="11"/>
        <color theme="1"/>
        <rFont val="Calibri"/>
        <family val="2"/>
        <charset val="1"/>
      </rPr>
      <t xml:space="preserve">Credit Value</t>
    </r>
    <r>
      <rPr>
        <sz val="11"/>
        <color theme="1"/>
        <rFont val="Calibri"/>
        <family val="2"/>
        <charset val="1"/>
      </rPr>
      <t xml:space="preserve"> / Nilai Kredit</t>
    </r>
  </si>
  <si>
    <r>
      <rPr>
        <i val="true"/>
        <sz val="11"/>
        <color theme="1"/>
        <rFont val="Calibri"/>
        <family val="2"/>
        <charset val="1"/>
      </rPr>
      <t xml:space="preserve">Pre-requisite/ co-requisite (if any</t>
    </r>
    <r>
      <rPr>
        <sz val="11"/>
        <color theme="1"/>
        <rFont val="Calibri"/>
        <family val="2"/>
        <charset val="1"/>
      </rPr>
      <t xml:space="preserve">) / Pra Syarat (jika ada)</t>
    </r>
  </si>
  <si>
    <r>
      <rPr>
        <i val="true"/>
        <sz val="11"/>
        <color theme="1"/>
        <rFont val="Calibri"/>
        <family val="2"/>
        <charset val="1"/>
      </rPr>
      <t xml:space="preserve">Course Learning Outcomes (CLO)</t>
    </r>
    <r>
      <rPr>
        <sz val="11"/>
        <color theme="1"/>
        <rFont val="Calibri"/>
        <family val="2"/>
        <charset val="1"/>
      </rPr>
      <t xml:space="preserve"> / Hasil Pembelajaran Kursus (HPK)</t>
    </r>
  </si>
  <si>
    <r>
      <rPr>
        <i val="true"/>
        <sz val="11"/>
        <color theme="1"/>
        <rFont val="Calibri"/>
        <family val="2"/>
        <charset val="1"/>
      </rPr>
      <t xml:space="preserve">CLO1</t>
    </r>
    <r>
      <rPr>
        <sz val="11"/>
        <color theme="1"/>
        <rFont val="Calibri"/>
        <family val="2"/>
        <charset val="1"/>
      </rPr>
      <t xml:space="preserve">/ HPK1</t>
    </r>
  </si>
  <si>
    <r>
      <rPr>
        <i val="true"/>
        <sz val="11"/>
        <color theme="1"/>
        <rFont val="Calibri"/>
        <family val="2"/>
        <charset val="1"/>
      </rPr>
      <t xml:space="preserve">CLO2</t>
    </r>
    <r>
      <rPr>
        <sz val="11"/>
        <color theme="1"/>
        <rFont val="Calibri"/>
        <family val="2"/>
        <charset val="1"/>
      </rPr>
      <t xml:space="preserve"> / HPK2</t>
    </r>
  </si>
  <si>
    <r>
      <rPr>
        <i val="true"/>
        <sz val="11"/>
        <color theme="1"/>
        <rFont val="Calibri"/>
        <family val="2"/>
        <charset val="1"/>
      </rPr>
      <t xml:space="preserve">CLO3</t>
    </r>
    <r>
      <rPr>
        <sz val="11"/>
        <color theme="1"/>
        <rFont val="Calibri"/>
        <family val="2"/>
        <charset val="1"/>
      </rPr>
      <t xml:space="preserve">/ HPK3</t>
    </r>
  </si>
  <si>
    <r>
      <rPr>
        <i val="true"/>
        <sz val="10"/>
        <color rgb="FFA5A5A5"/>
        <rFont val="Times New Roman"/>
        <family val="1"/>
        <charset val="1"/>
      </rPr>
      <t xml:space="preserve">Compulsory</t>
    </r>
    <r>
      <rPr>
        <sz val="10"/>
        <color rgb="FFA5A5A5"/>
        <rFont val="Times New Roman"/>
        <family val="1"/>
        <charset val="1"/>
      </rPr>
      <t xml:space="preserve">/ Wajib Universiti (WU)
Citra Wajib (CW)
</t>
    </r>
  </si>
  <si>
    <r>
      <rPr>
        <i val="true"/>
        <sz val="10"/>
        <color rgb="FFA5A5A5"/>
        <rFont val="Times New Roman"/>
        <family val="1"/>
        <charset val="1"/>
      </rPr>
      <t xml:space="preserve">Compulsory</t>
    </r>
    <r>
      <rPr>
        <sz val="10"/>
        <color rgb="FFA5A5A5"/>
        <rFont val="Times New Roman"/>
        <family val="1"/>
        <charset val="1"/>
      </rPr>
      <t xml:space="preserve">/Wajib Universiti (WU)
Citra Rentas (CR) C1 - C6</t>
    </r>
  </si>
  <si>
    <r>
      <rPr>
        <i val="true"/>
        <sz val="10"/>
        <color rgb="FFA5A5A5"/>
        <rFont val="Times New Roman"/>
        <family val="1"/>
        <charset val="1"/>
      </rPr>
      <t xml:space="preserve">Core</t>
    </r>
    <r>
      <rPr>
        <sz val="10"/>
        <color rgb="FFA5A5A5"/>
        <rFont val="Times New Roman"/>
        <family val="1"/>
        <charset val="1"/>
      </rPr>
      <t xml:space="preserve"> / Teras</t>
    </r>
  </si>
  <si>
    <r>
      <rPr>
        <i val="true"/>
        <sz val="10"/>
        <color rgb="FFA5A5A5"/>
        <rFont val="Times New Roman"/>
        <family val="1"/>
        <charset val="1"/>
      </rPr>
      <t xml:space="preserve">Elective</t>
    </r>
    <r>
      <rPr>
        <sz val="10"/>
        <color rgb="FFA5A5A5"/>
        <rFont val="Times New Roman"/>
        <family val="1"/>
        <charset val="1"/>
      </rPr>
      <t xml:space="preserve"> / Elektif</t>
    </r>
  </si>
  <si>
    <t xml:space="preserve">Audit</t>
  </si>
  <si>
    <r>
      <rPr>
        <i val="true"/>
        <sz val="11"/>
        <color theme="1"/>
        <rFont val="Calibri"/>
        <family val="2"/>
        <charset val="1"/>
      </rPr>
      <t xml:space="preserve">Mapping of the Course Learning Outcomes to the Programme Learning Outcomes, Teaching Methods and Assessment Methods</t>
    </r>
    <r>
      <rPr>
        <sz val="11"/>
        <color theme="1"/>
        <rFont val="Calibri"/>
        <family val="2"/>
        <charset val="1"/>
      </rPr>
      <t xml:space="preserve">/ Pemetaan terhadap HPP, HPK, Kaedah Penyampaian dan Kaedah Penilaian</t>
    </r>
  </si>
  <si>
    <r>
      <rPr>
        <i val="true"/>
        <sz val="11"/>
        <color theme="1"/>
        <rFont val="Calibri"/>
        <family val="2"/>
        <charset val="1"/>
      </rPr>
      <t xml:space="preserve">Course Learning Outcomes (CLO)</t>
    </r>
    <r>
      <rPr>
        <sz val="11"/>
        <color theme="1"/>
        <rFont val="Calibri"/>
        <family val="2"/>
        <charset val="1"/>
      </rPr>
      <t xml:space="preserve"> /  Hasil Pembelajaran Kursus (HPK)</t>
    </r>
  </si>
  <si>
    <r>
      <rPr>
        <i val="true"/>
        <sz val="11"/>
        <color theme="1"/>
        <rFont val="Calibri"/>
        <family val="2"/>
        <charset val="1"/>
      </rPr>
      <t xml:space="preserve">Programme Learning Outcomes (PLO)</t>
    </r>
    <r>
      <rPr>
        <sz val="11"/>
        <color theme="1"/>
        <rFont val="Calibri"/>
        <family val="2"/>
        <charset val="1"/>
      </rPr>
      <t xml:space="preserve"> / Hasil Pembelajaran Program (HPP)                                                                                        
</t>
    </r>
  </si>
  <si>
    <r>
      <rPr>
        <i val="true"/>
        <sz val="11"/>
        <color theme="1"/>
        <rFont val="Calibri"/>
        <family val="2"/>
        <charset val="1"/>
      </rPr>
      <t xml:space="preserve">Teaching Methods</t>
    </r>
    <r>
      <rPr>
        <sz val="11"/>
        <color theme="1"/>
        <rFont val="Calibri"/>
        <family val="2"/>
        <charset val="1"/>
      </rPr>
      <t xml:space="preserve"> / 
 Kaedah Penyampaian                                
</t>
    </r>
  </si>
  <si>
    <r>
      <rPr>
        <i val="true"/>
        <sz val="11"/>
        <color theme="1"/>
        <rFont val="Calibri"/>
        <family val="2"/>
        <charset val="1"/>
      </rPr>
      <t xml:space="preserve">Assessment Methods</t>
    </r>
    <r>
      <rPr>
        <sz val="11"/>
        <color theme="1"/>
        <rFont val="Calibri"/>
        <family val="2"/>
        <charset val="1"/>
      </rPr>
      <t xml:space="preserve"> /               
Kaedah Penilaian                        
</t>
    </r>
  </si>
  <si>
    <r>
      <rPr>
        <i val="true"/>
        <sz val="11"/>
        <color theme="1"/>
        <rFont val="Calibri"/>
        <family val="2"/>
        <charset val="1"/>
      </rPr>
      <t xml:space="preserve">PLO</t>
    </r>
    <r>
      <rPr>
        <sz val="11"/>
        <color theme="1"/>
        <rFont val="Calibri"/>
        <family val="2"/>
        <charset val="1"/>
      </rPr>
      <t xml:space="preserve">/HPP1</t>
    </r>
  </si>
  <si>
    <r>
      <rPr>
        <i val="true"/>
        <sz val="11"/>
        <color theme="1"/>
        <rFont val="Calibri"/>
        <family val="2"/>
        <charset val="1"/>
      </rPr>
      <t xml:space="preserve">PLO2</t>
    </r>
    <r>
      <rPr>
        <sz val="11"/>
        <color theme="1"/>
        <rFont val="Calibri"/>
        <family val="2"/>
        <charset val="1"/>
      </rPr>
      <t xml:space="preserve">/HPP2</t>
    </r>
  </si>
  <si>
    <r>
      <rPr>
        <i val="true"/>
        <sz val="11"/>
        <color theme="1"/>
        <rFont val="Calibri"/>
        <family val="2"/>
        <charset val="1"/>
      </rPr>
      <t xml:space="preserve">PLO</t>
    </r>
    <r>
      <rPr>
        <sz val="11"/>
        <color theme="1"/>
        <rFont val="Calibri"/>
        <family val="2"/>
        <charset val="1"/>
      </rPr>
      <t xml:space="preserve">/HPP3</t>
    </r>
  </si>
  <si>
    <r>
      <rPr>
        <i val="true"/>
        <sz val="11"/>
        <color theme="1"/>
        <rFont val="Calibri"/>
        <family val="2"/>
        <charset val="1"/>
      </rPr>
      <t xml:space="preserve">PLO4</t>
    </r>
    <r>
      <rPr>
        <sz val="11"/>
        <color theme="1"/>
        <rFont val="Calibri"/>
        <family val="2"/>
        <charset val="1"/>
      </rPr>
      <t xml:space="preserve">/HPP4</t>
    </r>
  </si>
  <si>
    <r>
      <rPr>
        <i val="true"/>
        <sz val="11"/>
        <color theme="1"/>
        <rFont val="Calibri"/>
        <family val="2"/>
        <charset val="1"/>
      </rPr>
      <t xml:space="preserve">PLO5</t>
    </r>
    <r>
      <rPr>
        <sz val="11"/>
        <color theme="1"/>
        <rFont val="Calibri"/>
        <family val="2"/>
        <charset val="1"/>
      </rPr>
      <t xml:space="preserve">/HPP5</t>
    </r>
  </si>
  <si>
    <r>
      <rPr>
        <i val="true"/>
        <sz val="11"/>
        <color theme="1"/>
        <rFont val="Calibri"/>
        <family val="2"/>
        <charset val="1"/>
      </rPr>
      <t xml:space="preserve">PLO6</t>
    </r>
    <r>
      <rPr>
        <sz val="11"/>
        <color theme="1"/>
        <rFont val="Calibri"/>
        <family val="2"/>
        <charset val="1"/>
      </rPr>
      <t xml:space="preserve">/HPP6</t>
    </r>
  </si>
  <si>
    <t xml:space="preserve">PLO7/HPP7</t>
  </si>
  <si>
    <r>
      <rPr>
        <i val="true"/>
        <sz val="11"/>
        <color theme="1"/>
        <rFont val="Calibri"/>
        <family val="2"/>
        <charset val="1"/>
      </rPr>
      <t xml:space="preserve">PLO8</t>
    </r>
    <r>
      <rPr>
        <sz val="11"/>
        <color theme="1"/>
        <rFont val="Calibri"/>
        <family val="2"/>
        <charset val="1"/>
      </rPr>
      <t xml:space="preserve">/HPP8</t>
    </r>
  </si>
  <si>
    <r>
      <rPr>
        <i val="true"/>
        <sz val="11"/>
        <color theme="1"/>
        <rFont val="Calibri"/>
        <family val="2"/>
        <charset val="1"/>
      </rPr>
      <t xml:space="preserve">PLO9</t>
    </r>
    <r>
      <rPr>
        <sz val="11"/>
        <color theme="1"/>
        <rFont val="Calibri"/>
        <family val="2"/>
        <charset val="1"/>
      </rPr>
      <t xml:space="preserve">/HPP9</t>
    </r>
  </si>
  <si>
    <r>
      <rPr>
        <i val="true"/>
        <sz val="11"/>
        <color theme="1"/>
        <rFont val="Calibri"/>
        <family val="2"/>
        <charset val="1"/>
      </rPr>
      <t xml:space="preserve">PLO10</t>
    </r>
    <r>
      <rPr>
        <sz val="11"/>
        <color theme="1"/>
        <rFont val="Calibri"/>
        <family val="2"/>
        <charset val="1"/>
      </rPr>
      <t xml:space="preserve">/HPP10</t>
    </r>
  </si>
  <si>
    <r>
      <rPr>
        <i val="true"/>
        <sz val="11"/>
        <color theme="1"/>
        <rFont val="Calibri"/>
        <family val="2"/>
        <charset val="1"/>
      </rPr>
      <t xml:space="preserve">PLO11</t>
    </r>
    <r>
      <rPr>
        <sz val="11"/>
        <color theme="1"/>
        <rFont val="Calibri"/>
        <family val="2"/>
        <charset val="1"/>
      </rPr>
      <t xml:space="preserve">/HPP11</t>
    </r>
  </si>
  <si>
    <t xml:space="preserve">Lecture /Kuliah</t>
  </si>
  <si>
    <t xml:space="preserve">Quiz / Kuiz</t>
  </si>
  <si>
    <t xml:space="preserve">Tutorial / Tutor</t>
  </si>
  <si>
    <t xml:space="preserve">Test / Ujian</t>
  </si>
  <si>
    <t xml:space="preserve">Discussion / Perbincangan</t>
  </si>
  <si>
    <t xml:space="preserve">Final Examination / Peperiksaan Akhir</t>
  </si>
  <si>
    <t xml:space="preserve">Case Study / Kajian Kes</t>
  </si>
  <si>
    <t xml:space="preserve">Report / Laporan</t>
  </si>
  <si>
    <t xml:space="preserve">Project / Projek</t>
  </si>
  <si>
    <t xml:space="preserve">Presentation / Pembentangan</t>
  </si>
  <si>
    <t xml:space="preserve">Group Work / Kerja Berkumpulan</t>
  </si>
  <si>
    <t xml:space="preserve">Essay /Esei</t>
  </si>
  <si>
    <t xml:space="preserve">Practical/Praktikal</t>
  </si>
  <si>
    <t xml:space="preserve">Portfolio</t>
  </si>
  <si>
    <t xml:space="preserve">Cognitive skills / Kemahiran Kognitif</t>
  </si>
  <si>
    <t xml:space="preserve">Lab Test / Ujian Makmal</t>
  </si>
  <si>
    <r>
      <rPr>
        <i val="true"/>
        <sz val="11"/>
        <color theme="1"/>
        <rFont val="Calibri"/>
        <family val="2"/>
        <charset val="1"/>
      </rPr>
      <t xml:space="preserve">Mapping with MQF Cluster of Learning Outcomes</t>
    </r>
    <r>
      <rPr>
        <sz val="11"/>
        <color theme="1"/>
        <rFont val="Calibri"/>
        <family val="2"/>
        <charset val="1"/>
      </rPr>
      <t xml:space="preserve"> / Pemetaan Terhadap Kluster MQF        
</t>
    </r>
  </si>
  <si>
    <t xml:space="preserve">Interpersonal skills / Kemahiran Interpersonal</t>
  </si>
  <si>
    <t xml:space="preserve">Final Report / Laporan Akhir</t>
  </si>
  <si>
    <t xml:space="preserve">Communication Skills / Kemahiran Komunikasi</t>
  </si>
  <si>
    <t xml:space="preserve">Final Presentation / Pembentangan Akhir</t>
  </si>
  <si>
    <t xml:space="preserve">Digital Skills / Kemahiran Digital</t>
  </si>
  <si>
    <t xml:space="preserve">Practical Test/ Ujian Praktikal</t>
  </si>
  <si>
    <t xml:space="preserve">Numeracy Skills / Kemahiran Numerasi</t>
  </si>
  <si>
    <t xml:space="preserve">Digital Assignment/ Tugasan Digital</t>
  </si>
  <si>
    <t xml:space="preserve">Indicate the primary causal link between the CLO and PLO by ticking  '√' in the appropriate box.</t>
  </si>
  <si>
    <t xml:space="preserve">Leadership, Autonomy and Responsibility / Kepimpinan, Autonomi dan Kebertanggungjawaban</t>
  </si>
  <si>
    <r>
      <rPr>
        <i val="true"/>
        <sz val="10"/>
        <color rgb="FF0070C0"/>
        <rFont val="Calibri"/>
        <family val="2"/>
        <charset val="1"/>
      </rPr>
      <t xml:space="preserve">C1 = Knowledge &amp; Understanding</t>
    </r>
    <r>
      <rPr>
        <b val="true"/>
        <i val="true"/>
        <sz val="10"/>
        <color rgb="FF0070C0"/>
        <rFont val="Calibri"/>
        <family val="2"/>
        <charset val="1"/>
      </rPr>
      <t xml:space="preserve"> (HPP1</t>
    </r>
    <r>
      <rPr>
        <i val="true"/>
        <sz val="10"/>
        <color rgb="FF0070C0"/>
        <rFont val="Calibri"/>
        <family val="2"/>
        <charset val="1"/>
      </rPr>
      <t xml:space="preserve">), C2 = Cognitive Skills</t>
    </r>
    <r>
      <rPr>
        <b val="true"/>
        <i val="true"/>
        <sz val="10"/>
        <color rgb="FF0070C0"/>
        <rFont val="Calibri"/>
        <family val="2"/>
        <charset val="1"/>
      </rPr>
      <t xml:space="preserve"> (HPP2)</t>
    </r>
    <r>
      <rPr>
        <i val="true"/>
        <sz val="10"/>
        <color rgb="FF0070C0"/>
        <rFont val="Calibri"/>
        <family val="2"/>
        <charset val="1"/>
      </rPr>
      <t xml:space="preserve">, C3A = Practical Skills (</t>
    </r>
    <r>
      <rPr>
        <b val="true"/>
        <i val="true"/>
        <sz val="10"/>
        <color rgb="FF0070C0"/>
        <rFont val="Calibri"/>
        <family val="2"/>
        <charset val="1"/>
      </rPr>
      <t xml:space="preserve">HPP3)</t>
    </r>
    <r>
      <rPr>
        <i val="true"/>
        <sz val="10"/>
        <color rgb="FF0070C0"/>
        <rFont val="Calibri"/>
        <family val="2"/>
        <charset val="1"/>
      </rPr>
      <t xml:space="preserve">, C3B = Interpersonal Skills </t>
    </r>
    <r>
      <rPr>
        <b val="true"/>
        <i val="true"/>
        <sz val="10"/>
        <color rgb="FF0070C0"/>
        <rFont val="Calibri"/>
        <family val="2"/>
        <charset val="1"/>
      </rPr>
      <t xml:space="preserve">(HPP4)</t>
    </r>
    <r>
      <rPr>
        <i val="true"/>
        <sz val="10"/>
        <color rgb="FF0070C0"/>
        <rFont val="Calibri"/>
        <family val="2"/>
        <charset val="1"/>
      </rPr>
      <t xml:space="preserve">, C3C = Communication Skills </t>
    </r>
    <r>
      <rPr>
        <b val="true"/>
        <i val="true"/>
        <sz val="10"/>
        <color rgb="FF0070C0"/>
        <rFont val="Calibri"/>
        <family val="2"/>
        <charset val="1"/>
      </rPr>
      <t xml:space="preserve">(HPP5)</t>
    </r>
    <r>
      <rPr>
        <i val="true"/>
        <sz val="10"/>
        <color rgb="FF0070C0"/>
        <rFont val="Calibri"/>
        <family val="2"/>
        <charset val="1"/>
      </rPr>
      <t xml:space="preserve">, C3D = Digital Skills </t>
    </r>
    <r>
      <rPr>
        <b val="true"/>
        <i val="true"/>
        <sz val="10"/>
        <color rgb="FF0070C0"/>
        <rFont val="Calibri"/>
        <family val="2"/>
        <charset val="1"/>
      </rPr>
      <t xml:space="preserve">(HPP6)</t>
    </r>
    <r>
      <rPr>
        <i val="true"/>
        <sz val="10"/>
        <color rgb="FF0070C0"/>
        <rFont val="Calibri"/>
        <family val="2"/>
        <charset val="1"/>
      </rPr>
      <t xml:space="preserve">, C3E = Numeracy Skills</t>
    </r>
    <r>
      <rPr>
        <b val="true"/>
        <i val="true"/>
        <sz val="10"/>
        <color rgb="FF0070C0"/>
        <rFont val="Calibri"/>
        <family val="2"/>
        <charset val="1"/>
      </rPr>
      <t xml:space="preserve"> (HPP7)</t>
    </r>
    <r>
      <rPr>
        <i val="true"/>
        <sz val="10"/>
        <color rgb="FF0070C0"/>
        <rFont val="Calibri"/>
        <family val="2"/>
        <charset val="1"/>
      </rPr>
      <t xml:space="preserve">, C3F = Leadership, Autonomy &amp; Responsibility</t>
    </r>
    <r>
      <rPr>
        <b val="true"/>
        <i val="true"/>
        <sz val="10"/>
        <color rgb="FF0070C0"/>
        <rFont val="Calibri"/>
        <family val="2"/>
        <charset val="1"/>
      </rPr>
      <t xml:space="preserve"> (HPP8)</t>
    </r>
    <r>
      <rPr>
        <i val="true"/>
        <sz val="10"/>
        <color rgb="FF0070C0"/>
        <rFont val="Calibri"/>
        <family val="2"/>
        <charset val="1"/>
      </rPr>
      <t xml:space="preserve">, C4A = Personal Skills </t>
    </r>
    <r>
      <rPr>
        <b val="true"/>
        <i val="true"/>
        <sz val="10"/>
        <color rgb="FF0070C0"/>
        <rFont val="Calibri"/>
        <family val="2"/>
        <charset val="1"/>
      </rPr>
      <t xml:space="preserve">(HPP9),</t>
    </r>
    <r>
      <rPr>
        <i val="true"/>
        <sz val="10"/>
        <color rgb="FF0070C0"/>
        <rFont val="Calibri"/>
        <family val="2"/>
        <charset val="1"/>
      </rPr>
      <t xml:space="preserve"> C4B = Entrepreneurial Skills (</t>
    </r>
    <r>
      <rPr>
        <b val="true"/>
        <i val="true"/>
        <sz val="10"/>
        <color rgb="FF0070C0"/>
        <rFont val="Calibri"/>
        <family val="2"/>
        <charset val="1"/>
      </rPr>
      <t xml:space="preserve">HPP10)</t>
    </r>
    <r>
      <rPr>
        <i val="true"/>
        <sz val="10"/>
        <color rgb="FF0070C0"/>
        <rFont val="Calibri"/>
        <family val="2"/>
        <charset val="1"/>
      </rPr>
      <t xml:space="preserve">, C5 = Ethics &amp; Professionalism </t>
    </r>
    <r>
      <rPr>
        <b val="true"/>
        <i val="true"/>
        <sz val="10"/>
        <color rgb="FF0070C0"/>
        <rFont val="Calibri"/>
        <family val="2"/>
        <charset val="1"/>
      </rPr>
      <t xml:space="preserve">(HPP11)</t>
    </r>
  </si>
  <si>
    <t xml:space="preserve">Personal Skills / Kemahiran Personal</t>
  </si>
  <si>
    <t xml:space="preserve">Entrepreneurial Skills / Kemahiran Keusahawanan</t>
  </si>
  <si>
    <t xml:space="preserve">Ethics and Professionalism / Etika dan Profesionalisme</t>
  </si>
  <si>
    <r>
      <rPr>
        <i val="true"/>
        <sz val="11"/>
        <color theme="1"/>
        <rFont val="Calibri"/>
        <family val="2"/>
        <charset val="1"/>
      </rPr>
      <t xml:space="preserve">Transferable Skills (if applicable)</t>
    </r>
    <r>
      <rPr>
        <sz val="11"/>
        <color theme="1"/>
        <rFont val="Calibri"/>
        <family val="2"/>
        <charset val="1"/>
      </rPr>
      <t xml:space="preserve"> / Kemahiran Boleh Pindah (jika ada)</t>
    </r>
  </si>
  <si>
    <r>
      <rPr>
        <i val="true"/>
        <sz val="11"/>
        <color theme="1"/>
        <rFont val="Calibri"/>
        <family val="2"/>
        <charset val="1"/>
      </rPr>
      <t xml:space="preserve">Skills learned in the course of study which can be useful and utilized in other settings / </t>
    </r>
    <r>
      <rPr>
        <sz val="11"/>
        <color theme="1"/>
        <rFont val="Calibri"/>
        <family val="2"/>
        <charset val="1"/>
      </rPr>
      <t xml:space="preserve">Kemahiran yang dipelajari dalam kursus pengajian yang boleh berguna dan digunakan dalam tetapan lain)</t>
    </r>
  </si>
  <si>
    <t xml:space="preserve">C1</t>
  </si>
  <si>
    <t xml:space="preserve">C2</t>
  </si>
  <si>
    <t xml:space="preserve">C3A</t>
  </si>
  <si>
    <r>
      <rPr>
        <i val="true"/>
        <sz val="10"/>
        <color theme="1"/>
        <rFont val="Calibri"/>
        <family val="2"/>
        <charset val="1"/>
      </rPr>
      <t xml:space="preserve">Open-ended response (if any)</t>
    </r>
    <r>
      <rPr>
        <sz val="10"/>
        <color theme="1"/>
        <rFont val="Calibri"/>
        <family val="2"/>
        <charset val="1"/>
      </rPr>
      <t xml:space="preserve"> / Lain-lain (jika ada)</t>
    </r>
  </si>
  <si>
    <t xml:space="preserve">C3B</t>
  </si>
  <si>
    <t xml:space="preserve">C3C</t>
  </si>
  <si>
    <t xml:space="preserve">C3D</t>
  </si>
  <si>
    <t xml:space="preserve">`</t>
  </si>
  <si>
    <t xml:space="preserve">C3E</t>
  </si>
  <si>
    <r>
      <rPr>
        <i val="true"/>
        <sz val="11"/>
        <color theme="1"/>
        <rFont val="Calibri"/>
        <family val="2"/>
        <charset val="1"/>
      </rPr>
      <t xml:space="preserve">Distribution of Student Learning Time (SLT)</t>
    </r>
    <r>
      <rPr>
        <sz val="11"/>
        <color theme="1"/>
        <rFont val="Calibri"/>
        <family val="2"/>
        <charset val="1"/>
      </rPr>
      <t xml:space="preserve"> / Agihan Masa Pembelajaran Pelajar (SLT)</t>
    </r>
  </si>
  <si>
    <t xml:space="preserve">C3F</t>
  </si>
  <si>
    <r>
      <rPr>
        <i val="true"/>
        <sz val="11"/>
        <color theme="1"/>
        <rFont val="Calibri"/>
        <family val="2"/>
        <charset val="1"/>
      </rPr>
      <t xml:space="preserve">Note: This SLT calculation is designed for home grown programme only </t>
    </r>
    <r>
      <rPr>
        <sz val="11"/>
        <color theme="1"/>
        <rFont val="Calibri"/>
        <family val="2"/>
        <charset val="1"/>
      </rPr>
      <t xml:space="preserve">/ Nota: Pengiraan SLT ini direka untuk program sendiri sahaja</t>
    </r>
  </si>
  <si>
    <t xml:space="preserve">C4A</t>
  </si>
  <si>
    <t xml:space="preserve">C4B</t>
  </si>
  <si>
    <r>
      <rPr>
        <i val="true"/>
        <sz val="11"/>
        <color theme="1"/>
        <rFont val="Calibri"/>
        <family val="2"/>
        <charset val="1"/>
      </rPr>
      <t xml:space="preserve">Course Content Outline and Subtopics</t>
    </r>
    <r>
      <rPr>
        <sz val="11"/>
        <color theme="1"/>
        <rFont val="Calibri"/>
        <family val="2"/>
        <charset val="1"/>
      </rPr>
      <t xml:space="preserve"> / 
Kandungan Kursus dan Subtopik</t>
    </r>
  </si>
  <si>
    <t xml:space="preserve">CLO/HPK*</t>
  </si>
  <si>
    <r>
      <rPr>
        <i val="true"/>
        <sz val="11"/>
        <color theme="1"/>
        <rFont val="Calibri"/>
        <family val="2"/>
        <charset val="1"/>
      </rPr>
      <t xml:space="preserve">Learning and Teaching Activities</t>
    </r>
    <r>
      <rPr>
        <sz val="11"/>
        <color theme="1"/>
        <rFont val="Calibri"/>
        <family val="2"/>
        <charset val="1"/>
      </rPr>
      <t xml:space="preserve">/ Aktiviti Pembelajaran dan Pembelajaran**</t>
    </r>
  </si>
  <si>
    <r>
      <rPr>
        <i val="true"/>
        <sz val="11"/>
        <color theme="1"/>
        <rFont val="Calibri"/>
        <family val="2"/>
        <charset val="1"/>
      </rPr>
      <t xml:space="preserve">Total</t>
    </r>
    <r>
      <rPr>
        <sz val="11"/>
        <color theme="1"/>
        <rFont val="Calibri"/>
        <family val="2"/>
        <charset val="1"/>
      </rPr>
      <t xml:space="preserve">/Jumlah SLT</t>
    </r>
  </si>
  <si>
    <t xml:space="preserve">C5</t>
  </si>
  <si>
    <r>
      <rPr>
        <i val="true"/>
        <sz val="11"/>
        <color theme="1"/>
        <rFont val="Calibri"/>
        <family val="2"/>
        <charset val="1"/>
      </rPr>
      <t xml:space="preserve">Face-to-Face (F2F)</t>
    </r>
    <r>
      <rPr>
        <sz val="11"/>
        <color theme="1"/>
        <rFont val="Calibri"/>
        <family val="2"/>
        <charset val="1"/>
      </rPr>
      <t xml:space="preserve"> / Bersemuka</t>
    </r>
  </si>
  <si>
    <r>
      <rPr>
        <sz val="11"/>
        <color theme="1"/>
        <rFont val="Calibri"/>
        <family val="2"/>
        <charset val="1"/>
      </rPr>
      <t xml:space="preserve">NF2F
</t>
    </r>
    <r>
      <rPr>
        <i val="true"/>
        <sz val="11"/>
        <color theme="1"/>
        <rFont val="Calibri"/>
        <family val="2"/>
        <charset val="1"/>
      </rPr>
      <t xml:space="preserve">Independent Learning (Asynchronous) /</t>
    </r>
    <r>
      <rPr>
        <sz val="11"/>
        <color theme="1"/>
        <rFont val="Calibri"/>
        <family val="2"/>
        <charset val="1"/>
      </rPr>
      <t xml:space="preserve"> Pembelajaran Kendiri
(Tidak Segerak)</t>
    </r>
  </si>
  <si>
    <r>
      <rPr>
        <i val="true"/>
        <sz val="11"/>
        <color theme="1"/>
        <rFont val="Calibri"/>
        <family val="2"/>
        <charset val="1"/>
      </rPr>
      <t xml:space="preserve">Physical</t>
    </r>
    <r>
      <rPr>
        <sz val="11"/>
        <color theme="1"/>
        <rFont val="Calibri"/>
        <family val="2"/>
        <charset val="1"/>
      </rPr>
      <t xml:space="preserve"> / Fizikal</t>
    </r>
  </si>
  <si>
    <r>
      <rPr>
        <i val="true"/>
        <sz val="11"/>
        <color theme="1"/>
        <rFont val="Calibri"/>
        <family val="2"/>
        <charset val="1"/>
      </rPr>
      <t xml:space="preserve">Online/ Technology-mediated (Synchronous) </t>
    </r>
    <r>
      <rPr>
        <sz val="11"/>
        <color theme="1"/>
        <rFont val="Calibri"/>
        <family val="2"/>
        <charset val="1"/>
      </rPr>
      <t xml:space="preserve">/ Dalam Talian/ Pengantar Teknologi (Segerak)</t>
    </r>
  </si>
  <si>
    <t xml:space="preserve">L</t>
  </si>
  <si>
    <t xml:space="preserve">T</t>
  </si>
  <si>
    <t xml:space="preserve">P</t>
  </si>
  <si>
    <t xml:space="preserve">O</t>
  </si>
  <si>
    <r>
      <rPr>
        <b val="true"/>
        <i val="true"/>
        <sz val="11"/>
        <color theme="1"/>
        <rFont val="Calibri"/>
        <family val="2"/>
        <charset val="1"/>
      </rPr>
      <t xml:space="preserve">SUB-TOTAL</t>
    </r>
    <r>
      <rPr>
        <b val="true"/>
        <sz val="11"/>
        <color theme="1"/>
        <rFont val="Calibri"/>
        <family val="2"/>
        <charset val="1"/>
      </rPr>
      <t xml:space="preserve">/SUB-JUMLAH SLT: </t>
    </r>
  </si>
  <si>
    <r>
      <rPr>
        <i val="true"/>
        <sz val="11"/>
        <color theme="1"/>
        <rFont val="Calibri"/>
        <family val="2"/>
        <charset val="1"/>
      </rPr>
      <t xml:space="preserve">Continous Assessment </t>
    </r>
    <r>
      <rPr>
        <sz val="11"/>
        <color theme="1"/>
        <rFont val="Calibri"/>
        <family val="2"/>
        <charset val="1"/>
      </rPr>
      <t xml:space="preserve">/ Penilaian Berterusan</t>
    </r>
  </si>
  <si>
    <t xml:space="preserve">%</t>
  </si>
  <si>
    <r>
      <rPr>
        <i val="true"/>
        <sz val="11"/>
        <color theme="1"/>
        <rFont val="Calibri"/>
        <family val="2"/>
        <charset val="1"/>
      </rPr>
      <t xml:space="preserve">Face-to-Face (F2F) </t>
    </r>
    <r>
      <rPr>
        <sz val="11"/>
        <color theme="1"/>
        <rFont val="Calibri"/>
        <family val="2"/>
        <charset val="1"/>
      </rPr>
      <t xml:space="preserve">/ Bersemuka</t>
    </r>
  </si>
  <si>
    <r>
      <rPr>
        <i val="true"/>
        <sz val="11"/>
        <color theme="1"/>
        <rFont val="Calibri"/>
        <family val="2"/>
        <charset val="1"/>
      </rPr>
      <t xml:space="preserve">NF2F
Independent Learning (Asynchronous)</t>
    </r>
    <r>
      <rPr>
        <sz val="11"/>
        <color theme="1"/>
        <rFont val="Calibri"/>
        <family val="2"/>
        <charset val="1"/>
      </rPr>
      <t xml:space="preserve">/ Pembelajaran Kendiri (Tidak Segerak)</t>
    </r>
  </si>
  <si>
    <r>
      <rPr>
        <i val="true"/>
        <sz val="11"/>
        <color theme="1"/>
        <rFont val="Calibri"/>
        <family val="2"/>
        <charset val="1"/>
      </rPr>
      <t xml:space="preserve">Physical</t>
    </r>
    <r>
      <rPr>
        <sz val="11"/>
        <color theme="1"/>
        <rFont val="Calibri"/>
        <family val="2"/>
        <charset val="1"/>
      </rPr>
      <t xml:space="preserve">/ Fizikal</t>
    </r>
  </si>
  <si>
    <r>
      <rPr>
        <i val="true"/>
        <sz val="11"/>
        <color theme="1"/>
        <rFont val="Calibri"/>
        <family val="2"/>
        <charset val="1"/>
      </rPr>
      <t xml:space="preserve">Final Assessment</t>
    </r>
    <r>
      <rPr>
        <sz val="11"/>
        <color theme="1"/>
        <rFont val="Calibri"/>
        <family val="2"/>
        <charset val="1"/>
      </rPr>
      <t xml:space="preserve"> / Penilaian Akhir</t>
    </r>
  </si>
  <si>
    <r>
      <rPr>
        <i val="true"/>
        <sz val="11"/>
        <color theme="1"/>
        <rFont val="Calibri"/>
        <family val="2"/>
        <charset val="1"/>
      </rPr>
      <t xml:space="preserve">Face-to-Face</t>
    </r>
    <r>
      <rPr>
        <sz val="11"/>
        <color theme="1"/>
        <rFont val="Calibri"/>
        <family val="2"/>
        <charset val="1"/>
      </rPr>
      <t xml:space="preserve"> (F2F) / Bersemuka</t>
    </r>
  </si>
  <si>
    <t xml:space="preserve">Practical Test / Ujian Praktikal</t>
  </si>
  <si>
    <t xml:space="preserve">Final Clinical Examination / Peperiksaan Akhir Klinikal</t>
  </si>
  <si>
    <r>
      <rPr>
        <i val="true"/>
        <sz val="11"/>
        <color theme="1"/>
        <rFont val="Calibri"/>
        <family val="2"/>
        <charset val="1"/>
      </rPr>
      <t xml:space="preserve">SLT for Assessment</t>
    </r>
    <r>
      <rPr>
        <sz val="11"/>
        <color theme="1"/>
        <rFont val="Calibri"/>
        <family val="2"/>
        <charset val="1"/>
      </rPr>
      <t xml:space="preserve">/ SLT untuk Penilaian:</t>
    </r>
  </si>
  <si>
    <r>
      <rPr>
        <b val="true"/>
        <i val="true"/>
        <sz val="11"/>
        <color theme="1"/>
        <rFont val="Calibri"/>
        <family val="2"/>
        <charset val="1"/>
      </rPr>
      <t xml:space="preserve">GRAND TOTA</t>
    </r>
    <r>
      <rPr>
        <b val="true"/>
        <sz val="11"/>
        <color theme="1"/>
        <rFont val="Calibri"/>
        <family val="2"/>
        <charset val="1"/>
      </rPr>
      <t xml:space="preserve">L/JUMLAH KESELURUHAN SLT:</t>
    </r>
  </si>
  <si>
    <t xml:space="preserve">A</t>
  </si>
  <si>
    <r>
      <rPr>
        <i val="true"/>
        <sz val="11"/>
        <color theme="1"/>
        <rFont val="Calibri"/>
        <family val="2"/>
        <charset val="1"/>
      </rPr>
      <t xml:space="preserve">% SLT for F2F Physical Component: 
</t>
    </r>
    <r>
      <rPr>
        <i val="true"/>
        <sz val="11"/>
        <color rgb="FF0070C0"/>
        <rFont val="Calibri"/>
        <family val="2"/>
        <charset val="1"/>
      </rPr>
      <t xml:space="preserve">[Total F2F Physical /(Total F2F Physical + Total F2F Online + Total Independent Learning) x 100)]</t>
    </r>
  </si>
  <si>
    <t xml:space="preserve">B</t>
  </si>
  <si>
    <r>
      <rPr>
        <i val="true"/>
        <sz val="11"/>
        <color theme="1"/>
        <rFont val="Calibri"/>
        <family val="2"/>
        <charset val="1"/>
      </rPr>
      <t xml:space="preserve">% SLT for Online &amp; Independent Learning Component:
</t>
    </r>
    <r>
      <rPr>
        <i val="true"/>
        <sz val="11"/>
        <color rgb="FF0070C0"/>
        <rFont val="Calibri"/>
        <family val="2"/>
        <charset val="1"/>
      </rPr>
      <t xml:space="preserve">[(Total F2F Online + Total Independent Learning) /( Total F2F Physical + Total F2F Online + Total Independent Learning) x 100]</t>
    </r>
  </si>
  <si>
    <t xml:space="preserve">C</t>
  </si>
  <si>
    <r>
      <rPr>
        <i val="true"/>
        <sz val="11"/>
        <color theme="1"/>
        <rFont val="Calibri"/>
        <family val="2"/>
        <charset val="1"/>
      </rPr>
      <t xml:space="preserve">% SLT for All Practical Component:
</t>
    </r>
    <r>
      <rPr>
        <i val="true"/>
        <sz val="11"/>
        <color rgb="FF0070C0"/>
        <rFont val="Calibri"/>
        <family val="2"/>
        <charset val="1"/>
      </rPr>
      <t xml:space="preserve">[% F2F Physical Practical + % F2F Online Practical]</t>
    </r>
  </si>
  <si>
    <r>
      <rPr>
        <i val="true"/>
        <sz val="11"/>
        <color theme="1"/>
        <rFont val="Calibri"/>
        <family val="2"/>
        <charset val="1"/>
      </rPr>
      <t xml:space="preserve">% SLT for F2F Physical Practical Component
</t>
    </r>
    <r>
      <rPr>
        <i val="true"/>
        <sz val="11"/>
        <color rgb="FF0070C0"/>
        <rFont val="Calibri"/>
        <family val="2"/>
        <charset val="1"/>
      </rPr>
      <t xml:space="preserve">[Total F2F Physical Practical /( Total F2F Physical + Total F2F Online + Total Independent Learning)  x 100)]</t>
    </r>
  </si>
  <si>
    <r>
      <rPr>
        <i val="true"/>
        <sz val="11"/>
        <color theme="1"/>
        <rFont val="Calibri"/>
        <family val="2"/>
        <charset val="1"/>
      </rPr>
      <t xml:space="preserve">% SLT for F2F Online Practical Component
</t>
    </r>
    <r>
      <rPr>
        <i val="true"/>
        <sz val="11"/>
        <color rgb="FF0070C0"/>
        <rFont val="Calibri"/>
        <family val="2"/>
        <charset val="1"/>
      </rPr>
      <t xml:space="preserve">[Total F2F Online Practical / (Total F2F Physical + Total F2F Online + Total Independent Learning) x 100]</t>
    </r>
  </si>
  <si>
    <r>
      <rPr>
        <i val="true"/>
        <sz val="11"/>
        <color rgb="FFC55A11"/>
        <rFont val="Calibri"/>
        <family val="2"/>
        <charset val="1"/>
      </rPr>
      <t xml:space="preserve">Please  tick (√) if this course is Industrial Training/ Clinical Placement/ Practicum using 50% of Effective Learning Time (ELT) </t>
    </r>
    <r>
      <rPr>
        <sz val="11"/>
        <color rgb="FFC55A11"/>
        <rFont val="Calibri"/>
        <family val="2"/>
        <charset val="1"/>
      </rPr>
      <t xml:space="preserve">/ Tandakan (√) jika kursus ini merupakan kursus Latihan Industri/Penempatan Klinikal/ Praktikum yang menggunakan 50% Masa Pembelajaran Efektif (ELT).</t>
    </r>
  </si>
  <si>
    <t xml:space="preserve">Note: </t>
  </si>
  <si>
    <t xml:space="preserve">* Indicate the CLO based on the CLO's numbering in Item 8</t>
  </si>
  <si>
    <t xml:space="preserve">** For ODL programme: Courses with mandatory practical requiremnets imposed by the programme standards or any related standards can be exempted from complying to the minimum 80% ODL delivery rule in the SLT.</t>
  </si>
  <si>
    <r>
      <rPr>
        <i val="true"/>
        <sz val="11"/>
        <color theme="1"/>
        <rFont val="Calibri"/>
        <family val="2"/>
        <charset val="1"/>
      </rPr>
      <t xml:space="preserve">Identify special requirement or resources to deliver the course (e.g., software, nursery, computer lab, simulation room etc</t>
    </r>
    <r>
      <rPr>
        <sz val="11"/>
        <color theme="1"/>
        <rFont val="Calibri"/>
        <family val="2"/>
        <charset val="1"/>
      </rPr>
      <t xml:space="preserve">) /                                                                                                Kenal pasti keperluan atau sumber khas untuk menyampaikan kursus (cth., perisian, taska, makmal komputer, bilik simulasi dll)</t>
    </r>
  </si>
  <si>
    <r>
      <rPr>
        <i val="true"/>
        <sz val="11"/>
        <color rgb="FFA5A5A5"/>
        <rFont val="Times New Roman"/>
        <family val="1"/>
        <charset val="1"/>
      </rPr>
      <t xml:space="preserve">Element 1:  Fluid &amp; Organic Curicullum Structure</t>
    </r>
    <r>
      <rPr>
        <sz val="11"/>
        <color rgb="FFA5A5A5"/>
        <rFont val="Times New Roman"/>
        <family val="1"/>
        <charset val="1"/>
      </rPr>
      <t xml:space="preserve"> / Elemen 1: Struktur Kurikulum Lentur dan Organik</t>
    </r>
  </si>
  <si>
    <r>
      <rPr>
        <i val="true"/>
        <sz val="11"/>
        <color rgb="FFA5A5A5"/>
        <rFont val="Times New Roman"/>
        <family val="1"/>
        <charset val="1"/>
      </rPr>
      <t xml:space="preserve">Element 2: Transformative Learning &amp; Teaching Delivery</t>
    </r>
    <r>
      <rPr>
        <sz val="11"/>
        <color rgb="FFA5A5A5"/>
        <rFont val="Times New Roman"/>
        <family val="1"/>
        <charset val="1"/>
      </rPr>
      <t xml:space="preserve"> / Elemen 2: Pembelajaran Tranformatif dan Penyampaian Pengajaran</t>
    </r>
  </si>
  <si>
    <r>
      <rPr>
        <i val="true"/>
        <sz val="11"/>
        <color theme="1"/>
        <rFont val="Calibri"/>
        <family val="2"/>
        <charset val="1"/>
      </rPr>
      <t xml:space="preserve">References (include required and further readings, and should be the most current)</t>
    </r>
    <r>
      <rPr>
        <sz val="11"/>
        <color theme="1"/>
        <rFont val="Calibri"/>
        <family val="2"/>
        <charset val="1"/>
      </rPr>
      <t xml:space="preserve"> / Rujukan (termasuk bacaan yang diperlukan dan bacaan lanjut, dan hendaklah yang paling terkini)</t>
    </r>
  </si>
  <si>
    <r>
      <rPr>
        <i val="true"/>
        <sz val="11"/>
        <color rgb="FFA5A5A5"/>
        <rFont val="Times New Roman"/>
        <family val="1"/>
        <charset val="1"/>
      </rPr>
      <t xml:space="preserve">Element 3: Alternative Assessments</t>
    </r>
    <r>
      <rPr>
        <sz val="11"/>
        <color rgb="FFA5A5A5"/>
        <rFont val="Times New Roman"/>
        <family val="1"/>
        <charset val="1"/>
      </rPr>
      <t xml:space="preserve"> / Elemen 3: Penilaian Alternatif</t>
    </r>
  </si>
  <si>
    <r>
      <rPr>
        <i val="true"/>
        <sz val="11"/>
        <color theme="1"/>
        <rFont val="Calibri"/>
        <family val="2"/>
        <charset val="1"/>
      </rPr>
      <t xml:space="preserve">Mapping to Future Ready Curiculum Element</t>
    </r>
    <r>
      <rPr>
        <sz val="11"/>
        <color theme="1"/>
        <rFont val="Calibri"/>
        <family val="2"/>
        <charset val="1"/>
      </rPr>
      <t xml:space="preserve"> / Pemetaan kepada Kurikulum Sedia Masa Hadapan</t>
    </r>
  </si>
  <si>
    <r>
      <rPr>
        <i val="true"/>
        <sz val="11"/>
        <color theme="1"/>
        <rFont val="Calibri"/>
        <family val="2"/>
        <charset val="1"/>
      </rPr>
      <t xml:space="preserve">Mapping to EXCEL Framework </t>
    </r>
    <r>
      <rPr>
        <sz val="11"/>
        <color theme="1"/>
        <rFont val="Calibri"/>
        <family val="2"/>
        <charset val="1"/>
      </rPr>
      <t xml:space="preserve"> / Pemetaan kepada Kerangka EXCEL                      
                        </t>
    </r>
  </si>
  <si>
    <r>
      <rPr>
        <i val="true"/>
        <sz val="11"/>
        <color rgb="FF0070C0"/>
        <rFont val="Calibri"/>
        <family val="2"/>
        <charset val="1"/>
      </rPr>
      <t xml:space="preserve">Mapping to Sustainable Development Goals (SDGs)</t>
    </r>
    <r>
      <rPr>
        <sz val="11"/>
        <color rgb="FF0070C0"/>
        <rFont val="Calibri"/>
        <family val="2"/>
        <charset val="1"/>
      </rPr>
      <t xml:space="preserve"> / Pemetaan Kepada Matlamat Pembangunan Mampan</t>
    </r>
  </si>
  <si>
    <r>
      <rPr>
        <i val="true"/>
        <sz val="11"/>
        <color rgb="FF0070C0"/>
        <rFont val="Calibri"/>
        <family val="2"/>
        <charset val="1"/>
      </rPr>
      <t xml:space="preserve">Artificial Intelligence (AI)  Element</t>
    </r>
    <r>
      <rPr>
        <sz val="11"/>
        <color rgb="FF0070C0"/>
        <rFont val="Calibri"/>
        <family val="2"/>
        <charset val="1"/>
      </rPr>
      <t xml:space="preserve">/ Elemen Kecerdasan Buatan (AI)</t>
    </r>
  </si>
  <si>
    <t xml:space="preserve">Yes</t>
  </si>
  <si>
    <r>
      <rPr>
        <i val="true"/>
        <sz val="11"/>
        <color theme="1"/>
        <rFont val="Calibri"/>
        <family val="2"/>
        <charset val="1"/>
      </rPr>
      <t xml:space="preserve">Latest Approval Date</t>
    </r>
    <r>
      <rPr>
        <sz val="11"/>
        <color theme="1"/>
        <rFont val="Calibri"/>
        <family val="2"/>
        <charset val="1"/>
      </rPr>
      <t xml:space="preserve"> / Tarikh Kelulusan Terkini</t>
    </r>
  </si>
  <si>
    <r>
      <rPr>
        <i val="true"/>
        <sz val="11"/>
        <color theme="1"/>
        <rFont val="Calibri"/>
        <family val="2"/>
        <charset val="1"/>
      </rPr>
      <t xml:space="preserve">Faculty</t>
    </r>
    <r>
      <rPr>
        <sz val="11"/>
        <color theme="1"/>
        <rFont val="Calibri"/>
        <family val="2"/>
        <charset val="1"/>
      </rPr>
      <t xml:space="preserve">/Fakulti</t>
    </r>
  </si>
  <si>
    <r>
      <rPr>
        <i val="true"/>
        <sz val="11"/>
        <color theme="1"/>
        <rFont val="Calibri"/>
        <family val="2"/>
        <charset val="1"/>
      </rPr>
      <t xml:space="preserve">Senate</t>
    </r>
    <r>
      <rPr>
        <sz val="11"/>
        <color theme="1"/>
        <rFont val="Calibri"/>
        <family val="2"/>
        <charset val="1"/>
      </rPr>
      <t xml:space="preserve">/ Senat</t>
    </r>
  </si>
  <si>
    <t xml:space="preserve">REAL(Research Infused Experiential Learning)</t>
  </si>
  <si>
    <t xml:space="preserve">IDEAL (Industry Driven Experiential Learning)</t>
  </si>
  <si>
    <t xml:space="preserve">POISE (Personalized Experiential Learning)</t>
  </si>
  <si>
    <t xml:space="preserve">CARE (Community Resilience Experiential Learning)</t>
  </si>
  <si>
    <t xml:space="preserve">Pusat Pengajaran dan Pembangunan Kurikulum
Kemaskini : 26.6.2024 </t>
  </si>
  <si>
    <r>
      <rPr>
        <b val="true"/>
        <sz val="11"/>
        <color theme="1"/>
        <rFont val="Calibri"/>
        <family val="2"/>
        <charset val="1"/>
      </rPr>
      <t xml:space="preserve">Panduan:
</t>
    </r>
    <r>
      <rPr>
        <sz val="11"/>
        <color theme="1"/>
        <rFont val="Calibri"/>
        <family val="2"/>
        <charset val="1"/>
      </rPr>
      <t xml:space="preserve">1.Borang ini perlu diisi dengan lengkap dalam dwibahasa.
2.Perkataan Bahasa Inggeris perlu ditaip condong (italic).
3.Senarai rujukan perlu rujuk 'Panduan Penulisan Tesis Gaya UKM'.</t>
    </r>
  </si>
  <si>
    <r>
      <rPr>
        <sz val="10"/>
        <color theme="1"/>
        <rFont val="Times New Roman"/>
        <family val="1"/>
        <charset val="1"/>
      </rPr>
      <t xml:space="preserve">SDG1: </t>
    </r>
    <r>
      <rPr>
        <i val="true"/>
        <sz val="10"/>
        <color theme="1"/>
        <rFont val="Times New Roman"/>
        <family val="1"/>
        <charset val="1"/>
      </rPr>
      <t xml:space="preserve">No Poverty/</t>
    </r>
    <r>
      <rPr>
        <sz val="10"/>
        <color theme="1"/>
        <rFont val="Times New Roman"/>
        <family val="1"/>
        <charset val="1"/>
      </rPr>
      <t xml:space="preserve">Tiada kemiskinan</t>
    </r>
  </si>
  <si>
    <r>
      <rPr>
        <sz val="10"/>
        <color theme="1"/>
        <rFont val="Times New Roman"/>
        <family val="1"/>
        <charset val="1"/>
      </rPr>
      <t xml:space="preserve">SDG2: </t>
    </r>
    <r>
      <rPr>
        <i val="true"/>
        <sz val="10"/>
        <color theme="1"/>
        <rFont val="Times New Roman"/>
        <family val="1"/>
        <charset val="1"/>
      </rPr>
      <t xml:space="preserve">Zero Hunger</t>
    </r>
    <r>
      <rPr>
        <sz val="10"/>
        <color theme="1"/>
        <rFont val="Times New Roman"/>
        <family val="1"/>
        <charset val="1"/>
      </rPr>
      <t xml:space="preserve">/Kelaparan Sifar</t>
    </r>
  </si>
  <si>
    <r>
      <rPr>
        <sz val="10"/>
        <color theme="1"/>
        <rFont val="Times New Roman"/>
        <family val="1"/>
        <charset val="1"/>
      </rPr>
      <t xml:space="preserve">SDG3: </t>
    </r>
    <r>
      <rPr>
        <i val="true"/>
        <sz val="10"/>
        <color theme="1"/>
        <rFont val="Times New Roman"/>
        <family val="1"/>
        <charset val="1"/>
      </rPr>
      <t xml:space="preserve">Good Health and Well Being</t>
    </r>
    <r>
      <rPr>
        <sz val="10"/>
        <color theme="1"/>
        <rFont val="Times New Roman"/>
        <family val="1"/>
        <charset val="1"/>
      </rPr>
      <t xml:space="preserve">/Kesihatan dan Kesejahteraan yang Baik</t>
    </r>
  </si>
  <si>
    <r>
      <rPr>
        <sz val="10"/>
        <color theme="1"/>
        <rFont val="Times New Roman"/>
        <family val="1"/>
        <charset val="1"/>
      </rPr>
      <t xml:space="preserve">SDG4: </t>
    </r>
    <r>
      <rPr>
        <i val="true"/>
        <sz val="10"/>
        <color theme="1"/>
        <rFont val="Times New Roman"/>
        <family val="1"/>
        <charset val="1"/>
      </rPr>
      <t xml:space="preserve">Quality Education</t>
    </r>
    <r>
      <rPr>
        <sz val="10"/>
        <color theme="1"/>
        <rFont val="Times New Roman"/>
        <family val="1"/>
        <charset val="1"/>
      </rPr>
      <t xml:space="preserve">/Pendidikan Berkualiti</t>
    </r>
  </si>
  <si>
    <r>
      <rPr>
        <sz val="10"/>
        <color theme="1"/>
        <rFont val="Times New Roman"/>
        <family val="1"/>
        <charset val="1"/>
      </rPr>
      <t xml:space="preserve">SDG5: </t>
    </r>
    <r>
      <rPr>
        <i val="true"/>
        <sz val="10"/>
        <color theme="1"/>
        <rFont val="Times New Roman"/>
        <family val="1"/>
        <charset val="1"/>
      </rPr>
      <t xml:space="preserve">Gender Equality</t>
    </r>
    <r>
      <rPr>
        <sz val="10"/>
        <color theme="1"/>
        <rFont val="Times New Roman"/>
        <family val="1"/>
        <charset val="1"/>
      </rPr>
      <t xml:space="preserve">/Kesamarataan Gender</t>
    </r>
  </si>
  <si>
    <r>
      <rPr>
        <sz val="10"/>
        <color theme="1"/>
        <rFont val="Times New Roman"/>
        <family val="1"/>
        <charset val="1"/>
      </rPr>
      <t xml:space="preserve">SDG6: </t>
    </r>
    <r>
      <rPr>
        <i val="true"/>
        <sz val="10"/>
        <color theme="1"/>
        <rFont val="Times New Roman"/>
        <family val="1"/>
        <charset val="1"/>
      </rPr>
      <t xml:space="preserve">Clean Water and Sanitation</t>
    </r>
    <r>
      <rPr>
        <sz val="10"/>
        <color theme="1"/>
        <rFont val="Times New Roman"/>
        <family val="1"/>
        <charset val="1"/>
      </rPr>
      <t xml:space="preserve">/Kebersihan Air dan Sanitasi</t>
    </r>
  </si>
  <si>
    <r>
      <rPr>
        <sz val="10"/>
        <color theme="1"/>
        <rFont val="Times New Roman"/>
        <family val="1"/>
        <charset val="1"/>
      </rPr>
      <t xml:space="preserve">SDG7: </t>
    </r>
    <r>
      <rPr>
        <i val="true"/>
        <sz val="10"/>
        <color theme="1"/>
        <rFont val="Times New Roman"/>
        <family val="1"/>
        <charset val="1"/>
      </rPr>
      <t xml:space="preserve">Affordable and Clean Energy</t>
    </r>
    <r>
      <rPr>
        <sz val="10"/>
        <color theme="1"/>
        <rFont val="Times New Roman"/>
        <family val="1"/>
        <charset val="1"/>
      </rPr>
      <t xml:space="preserve">/Tenaga yang Berpatutan dan Bersih</t>
    </r>
  </si>
  <si>
    <r>
      <rPr>
        <sz val="10"/>
        <color theme="1"/>
        <rFont val="Times New Roman"/>
        <family val="1"/>
        <charset val="1"/>
      </rPr>
      <t xml:space="preserve">SDG8: </t>
    </r>
    <r>
      <rPr>
        <i val="true"/>
        <sz val="10"/>
        <color theme="1"/>
        <rFont val="Times New Roman"/>
        <family val="1"/>
        <charset val="1"/>
      </rPr>
      <t xml:space="preserve">Decent Work and Economic Growth</t>
    </r>
    <r>
      <rPr>
        <sz val="10"/>
        <color theme="1"/>
        <rFont val="Times New Roman"/>
        <family val="1"/>
        <charset val="1"/>
      </rPr>
      <t xml:space="preserve">/Pekerjaan Baik dan Kemajuan Ekonomi</t>
    </r>
  </si>
  <si>
    <r>
      <rPr>
        <sz val="10"/>
        <color theme="1"/>
        <rFont val="Times New Roman"/>
        <family val="1"/>
        <charset val="1"/>
      </rPr>
      <t xml:space="preserve">SDG9: </t>
    </r>
    <r>
      <rPr>
        <i val="true"/>
        <sz val="10"/>
        <color theme="1"/>
        <rFont val="Times New Roman"/>
        <family val="1"/>
        <charset val="1"/>
      </rPr>
      <t xml:space="preserve">Industry, Innovation and Infrastructure</t>
    </r>
    <r>
      <rPr>
        <sz val="10"/>
        <color theme="1"/>
        <rFont val="Times New Roman"/>
        <family val="1"/>
        <charset val="1"/>
      </rPr>
      <t xml:space="preserve">/Industri, Inovasi dan Infrastruktur</t>
    </r>
  </si>
  <si>
    <r>
      <rPr>
        <sz val="10"/>
        <color theme="1"/>
        <rFont val="Times New Roman"/>
        <family val="1"/>
        <charset val="1"/>
      </rPr>
      <t xml:space="preserve">SDG10: </t>
    </r>
    <r>
      <rPr>
        <i val="true"/>
        <sz val="10"/>
        <color theme="1"/>
        <rFont val="Times New Roman"/>
        <family val="1"/>
        <charset val="1"/>
      </rPr>
      <t xml:space="preserve">Reduced Inequalities</t>
    </r>
    <r>
      <rPr>
        <sz val="10"/>
        <color theme="1"/>
        <rFont val="Times New Roman"/>
        <family val="1"/>
        <charset val="1"/>
      </rPr>
      <t xml:space="preserve">/Mengurangkan Ketidaksamarataan</t>
    </r>
  </si>
  <si>
    <r>
      <rPr>
        <sz val="10"/>
        <color theme="1"/>
        <rFont val="Times New Roman"/>
        <family val="1"/>
        <charset val="1"/>
      </rPr>
      <t xml:space="preserve">SDG11: </t>
    </r>
    <r>
      <rPr>
        <i val="true"/>
        <sz val="10"/>
        <color theme="1"/>
        <rFont val="Times New Roman"/>
        <family val="1"/>
        <charset val="1"/>
      </rPr>
      <t xml:space="preserve">Sustainable Cities and Communities</t>
    </r>
    <r>
      <rPr>
        <sz val="10"/>
        <color theme="1"/>
        <rFont val="Times New Roman"/>
        <family val="1"/>
        <charset val="1"/>
      </rPr>
      <t xml:space="preserve">/Bandar dan Komuniti Mampan</t>
    </r>
  </si>
  <si>
    <r>
      <rPr>
        <sz val="10"/>
        <color theme="1"/>
        <rFont val="Times New Roman"/>
        <family val="1"/>
        <charset val="1"/>
      </rPr>
      <t xml:space="preserve">SDG12: </t>
    </r>
    <r>
      <rPr>
        <i val="true"/>
        <sz val="10"/>
        <color theme="1"/>
        <rFont val="Times New Roman"/>
        <family val="1"/>
        <charset val="1"/>
      </rPr>
      <t xml:space="preserve">Responsible Consumption and Production</t>
    </r>
    <r>
      <rPr>
        <sz val="10"/>
        <color theme="1"/>
        <rFont val="Times New Roman"/>
        <family val="1"/>
        <charset val="1"/>
      </rPr>
      <t xml:space="preserve">/Penggunaan dan Penghasilan yang bertanggungjawab</t>
    </r>
  </si>
  <si>
    <r>
      <rPr>
        <sz val="10"/>
        <color theme="1"/>
        <rFont val="Times New Roman"/>
        <family val="1"/>
        <charset val="1"/>
      </rPr>
      <t xml:space="preserve">SDG13: </t>
    </r>
    <r>
      <rPr>
        <i val="true"/>
        <sz val="10"/>
        <color theme="1"/>
        <rFont val="Times New Roman"/>
        <family val="1"/>
        <charset val="1"/>
      </rPr>
      <t xml:space="preserve">Climate Action</t>
    </r>
    <r>
      <rPr>
        <sz val="10"/>
        <color theme="1"/>
        <rFont val="Times New Roman"/>
        <family val="1"/>
        <charset val="1"/>
      </rPr>
      <t xml:space="preserve">/Tindakan Iklim</t>
    </r>
  </si>
  <si>
    <r>
      <rPr>
        <sz val="10"/>
        <color theme="1"/>
        <rFont val="Times New Roman"/>
        <family val="1"/>
        <charset val="1"/>
      </rPr>
      <t xml:space="preserve">SDG14:</t>
    </r>
    <r>
      <rPr>
        <i val="true"/>
        <sz val="10"/>
        <color theme="1"/>
        <rFont val="Times New Roman"/>
        <family val="1"/>
        <charset val="1"/>
      </rPr>
      <t xml:space="preserve"> Life Below Water</t>
    </r>
    <r>
      <rPr>
        <sz val="10"/>
        <color theme="1"/>
        <rFont val="Times New Roman"/>
        <family val="1"/>
        <charset val="1"/>
      </rPr>
      <t xml:space="preserve">/Kehidupan di dalam Air</t>
    </r>
  </si>
  <si>
    <r>
      <rPr>
        <sz val="10"/>
        <color theme="1"/>
        <rFont val="Times New Roman"/>
        <family val="1"/>
        <charset val="1"/>
      </rPr>
      <t xml:space="preserve">SDG15: </t>
    </r>
    <r>
      <rPr>
        <i val="true"/>
        <sz val="10"/>
        <color theme="1"/>
        <rFont val="Times New Roman"/>
        <family val="1"/>
        <charset val="1"/>
      </rPr>
      <t xml:space="preserve">Life on Land</t>
    </r>
    <r>
      <rPr>
        <sz val="10"/>
        <color theme="1"/>
        <rFont val="Times New Roman"/>
        <family val="1"/>
        <charset val="1"/>
      </rPr>
      <t xml:space="preserve">/Kehidupan di atas Darat</t>
    </r>
  </si>
  <si>
    <r>
      <rPr>
        <sz val="10"/>
        <color theme="1"/>
        <rFont val="Times New Roman"/>
        <family val="1"/>
        <charset val="1"/>
      </rPr>
      <t xml:space="preserve">SDG16: </t>
    </r>
    <r>
      <rPr>
        <i val="true"/>
        <sz val="10"/>
        <color theme="1"/>
        <rFont val="Times New Roman"/>
        <family val="1"/>
        <charset val="1"/>
      </rPr>
      <t xml:space="preserve">Peace, Justice and Strong Institutions</t>
    </r>
    <r>
      <rPr>
        <sz val="10"/>
        <color theme="1"/>
        <rFont val="Times New Roman"/>
        <family val="1"/>
        <charset val="1"/>
      </rPr>
      <t xml:space="preserve">/Keamanan, Keadilan dan Institusi yang Kukuh</t>
    </r>
  </si>
  <si>
    <r>
      <rPr>
        <sz val="10"/>
        <color theme="1"/>
        <rFont val="Times New Roman"/>
        <family val="1"/>
        <charset val="1"/>
      </rPr>
      <t xml:space="preserve">SDG17: </t>
    </r>
    <r>
      <rPr>
        <i val="true"/>
        <sz val="10"/>
        <color theme="1"/>
        <rFont val="Times New Roman"/>
        <family val="1"/>
        <charset val="1"/>
      </rPr>
      <t xml:space="preserve">Partnerships for the Goals/</t>
    </r>
    <r>
      <rPr>
        <sz val="10"/>
        <color theme="1"/>
        <rFont val="Times New Roman"/>
        <family val="1"/>
        <charset val="1"/>
      </rPr>
      <t xml:space="preserve">Rakan Kerjasama untuk Matlamat</t>
    </r>
  </si>
  <si>
    <r>
      <rPr>
        <i val="true"/>
        <sz val="10"/>
        <color theme="1"/>
        <rFont val="Times New Roman"/>
        <family val="1"/>
        <charset val="1"/>
      </rPr>
      <t xml:space="preserve">Yes</t>
    </r>
    <r>
      <rPr>
        <sz val="10"/>
        <color theme="1"/>
        <rFont val="Times New Roman"/>
        <family val="1"/>
        <charset val="1"/>
      </rPr>
      <t xml:space="preserve">/Ada</t>
    </r>
  </si>
  <si>
    <r>
      <rPr>
        <i val="true"/>
        <sz val="10"/>
        <color theme="1"/>
        <rFont val="Times New Roman"/>
        <family val="1"/>
        <charset val="1"/>
      </rPr>
      <t xml:space="preserve">No</t>
    </r>
    <r>
      <rPr>
        <sz val="10"/>
        <color theme="1"/>
        <rFont val="Times New Roman"/>
        <family val="1"/>
        <charset val="1"/>
      </rPr>
      <t xml:space="preserve">/Tiada</t>
    </r>
  </si>
  <si>
    <t xml:space="preserve">GUIDE</t>
  </si>
  <si>
    <t xml:space="preserve">FORM</t>
  </si>
  <si>
    <t xml:space="preserve">X</t>
  </si>
  <si>
    <t xml:space="preserve">INDEX</t>
  </si>
  <si>
    <t xml:space="preserve">Classification of Courses</t>
  </si>
  <si>
    <t xml:space="preserve">FOR ODL PROGRAMME ONLY
Summary of SLT Percentage for Open and Distance Learning (ODL) per course
(Min 80% / course)</t>
  </si>
  <si>
    <t xml:space="preserve">Comments by Panel of Assessors</t>
  </si>
  <si>
    <r>
      <rPr>
        <b val="true"/>
        <sz val="11"/>
        <color theme="1"/>
        <rFont val="Arial"/>
        <family val="2"/>
        <charset val="1"/>
      </rPr>
      <t xml:space="preserve">Comments by Panel of Assessors during visit</t>
    </r>
    <r>
      <rPr>
        <sz val="10"/>
        <color theme="1"/>
        <rFont val="Arial"/>
        <family val="2"/>
        <charset val="1"/>
      </rPr>
      <t xml:space="preserve"> 
(if applicable)</t>
    </r>
  </si>
  <si>
    <t xml:space="preserve">Number of ODL Courses</t>
  </si>
  <si>
    <t xml:space="preserve">Total Courses</t>
  </si>
  <si>
    <t xml:space="preserve">% ODL Courses/ programme 
(Min 61%/ programme) </t>
  </si>
</sst>
</file>

<file path=xl/styles.xml><?xml version="1.0" encoding="utf-8"?>
<styleSheet xmlns="http://schemas.openxmlformats.org/spreadsheetml/2006/main">
  <numFmts count="5">
    <numFmt numFmtId="164" formatCode="General"/>
    <numFmt numFmtId="165" formatCode="General"/>
    <numFmt numFmtId="166" formatCode="0.00"/>
    <numFmt numFmtId="167" formatCode="0"/>
    <numFmt numFmtId="168" formatCode="0.0"/>
  </numFmts>
  <fonts count="73">
    <font>
      <sz val="11"/>
      <color theme="1"/>
      <name val="Calibri"/>
      <family val="0"/>
      <charset val="1"/>
    </font>
    <font>
      <sz val="10"/>
      <name val="Arial"/>
      <family val="0"/>
    </font>
    <font>
      <sz val="10"/>
      <name val="Arial"/>
      <family val="0"/>
    </font>
    <font>
      <sz val="10"/>
      <name val="Arial"/>
      <family val="0"/>
    </font>
    <font>
      <sz val="11"/>
      <color theme="1"/>
      <name val="Calibri"/>
      <family val="2"/>
      <charset val="1"/>
    </font>
    <font>
      <b val="true"/>
      <sz val="16"/>
      <color theme="1"/>
      <name val="Calibri"/>
      <family val="2"/>
      <charset val="1"/>
    </font>
    <font>
      <b val="true"/>
      <sz val="18"/>
      <color rgb="FF0070C0"/>
      <name val="Calibri"/>
      <family val="2"/>
      <charset val="1"/>
    </font>
    <font>
      <sz val="10"/>
      <color theme="1"/>
      <name val="Calibri"/>
      <family val="2"/>
      <charset val="1"/>
    </font>
    <font>
      <b val="true"/>
      <sz val="12"/>
      <color theme="1"/>
      <name val="Calibri"/>
      <family val="2"/>
      <charset val="1"/>
    </font>
    <font>
      <b val="true"/>
      <sz val="11"/>
      <color theme="1"/>
      <name val="Calibri"/>
      <family val="2"/>
      <charset val="1"/>
    </font>
    <font>
      <sz val="12"/>
      <color theme="1"/>
      <name val="Calibri"/>
      <family val="2"/>
      <charset val="1"/>
    </font>
    <font>
      <b val="true"/>
      <sz val="12"/>
      <color rgb="FF548135"/>
      <name val="Calibri"/>
      <family val="2"/>
      <charset val="1"/>
    </font>
    <font>
      <b val="true"/>
      <i val="true"/>
      <sz val="12"/>
      <color theme="1"/>
      <name val="Calibri"/>
      <family val="2"/>
      <charset val="1"/>
    </font>
    <font>
      <i val="true"/>
      <sz val="10"/>
      <color theme="1"/>
      <name val="Calibri"/>
      <family val="2"/>
      <charset val="1"/>
    </font>
    <font>
      <b val="true"/>
      <sz val="10"/>
      <color rgb="FFFF0000"/>
      <name val="Calibri"/>
      <family val="2"/>
      <charset val="1"/>
    </font>
    <font>
      <b val="true"/>
      <sz val="9"/>
      <color rgb="FFFF0000"/>
      <name val="Calibri"/>
      <family val="2"/>
      <charset val="1"/>
    </font>
    <font>
      <sz val="6"/>
      <color theme="1"/>
      <name val="Arial Narrow"/>
      <family val="2"/>
      <charset val="1"/>
    </font>
    <font>
      <u val="single"/>
      <sz val="7"/>
      <color theme="10"/>
      <name val="Calibri"/>
      <family val="2"/>
      <charset val="1"/>
    </font>
    <font>
      <sz val="11"/>
      <color theme="1"/>
      <name val="Arial Rounded"/>
      <family val="0"/>
      <charset val="1"/>
    </font>
    <font>
      <sz val="10"/>
      <color theme="1"/>
      <name val="Times New Roman"/>
      <family val="1"/>
      <charset val="1"/>
    </font>
    <font>
      <sz val="10"/>
      <color theme="0"/>
      <name val="Times New Roman"/>
      <family val="1"/>
      <charset val="1"/>
    </font>
    <font>
      <sz val="10"/>
      <color theme="6"/>
      <name val="Times New Roman"/>
      <family val="1"/>
      <charset val="1"/>
    </font>
    <font>
      <sz val="10"/>
      <color rgb="FFA5A5A5"/>
      <name val="Times New Roman"/>
      <family val="1"/>
      <charset val="1"/>
    </font>
    <font>
      <b val="true"/>
      <sz val="11"/>
      <color theme="1"/>
      <name val="Arial"/>
      <family val="2"/>
      <charset val="1"/>
    </font>
    <font>
      <b val="true"/>
      <i val="true"/>
      <sz val="11"/>
      <color theme="1"/>
      <name val="Calibri"/>
      <family val="2"/>
      <charset val="1"/>
    </font>
    <font>
      <i val="true"/>
      <sz val="11"/>
      <color theme="1"/>
      <name val="Calibri"/>
      <family val="2"/>
      <charset val="1"/>
    </font>
    <font>
      <b val="true"/>
      <sz val="11"/>
      <color theme="0"/>
      <name val="Calibri"/>
      <family val="2"/>
      <charset val="1"/>
    </font>
    <font>
      <sz val="11"/>
      <color theme="1"/>
      <name val="Arial"/>
      <family val="2"/>
      <charset val="1"/>
    </font>
    <font>
      <sz val="8"/>
      <color theme="1"/>
      <name val="Arial"/>
      <family val="2"/>
      <charset val="1"/>
    </font>
    <font>
      <sz val="10"/>
      <color theme="1"/>
      <name val="Arial"/>
      <family val="2"/>
      <charset val="1"/>
    </font>
    <font>
      <i val="true"/>
      <sz val="10"/>
      <color rgb="FFA5A5A5"/>
      <name val="Times New Roman"/>
      <family val="1"/>
      <charset val="1"/>
    </font>
    <font>
      <sz val="9"/>
      <color theme="1"/>
      <name val="Calibri"/>
      <family val="2"/>
      <charset val="1"/>
    </font>
    <font>
      <strike val="true"/>
      <sz val="10"/>
      <color theme="6"/>
      <name val="Times New Roman"/>
      <family val="1"/>
      <charset val="1"/>
    </font>
    <font>
      <strike val="true"/>
      <sz val="10"/>
      <color rgb="FFA5A5A5"/>
      <name val="Times New Roman"/>
      <family val="1"/>
      <charset val="1"/>
    </font>
    <font>
      <sz val="11"/>
      <color rgb="FFA5A5A5"/>
      <name val="Calibri"/>
      <family val="2"/>
      <charset val="1"/>
    </font>
    <font>
      <sz val="10"/>
      <color rgb="FFFF0000"/>
      <name val="Times New Roman"/>
      <family val="1"/>
      <charset val="1"/>
    </font>
    <font>
      <i val="true"/>
      <sz val="10"/>
      <color rgb="FF0070C0"/>
      <name val="Calibri"/>
      <family val="2"/>
      <charset val="1"/>
    </font>
    <font>
      <b val="true"/>
      <i val="true"/>
      <sz val="10"/>
      <color rgb="FF0070C0"/>
      <name val="Calibri"/>
      <family val="2"/>
      <charset val="1"/>
    </font>
    <font>
      <sz val="10"/>
      <color rgb="FF0070C0"/>
      <name val="Calibri"/>
      <family val="2"/>
      <charset val="1"/>
    </font>
    <font>
      <sz val="11"/>
      <color theme="0"/>
      <name val="Calibri"/>
      <family val="2"/>
      <charset val="1"/>
    </font>
    <font>
      <i val="true"/>
      <sz val="11"/>
      <color rgb="FF0070C0"/>
      <name val="Calibri"/>
      <family val="2"/>
      <charset val="1"/>
    </font>
    <font>
      <i val="true"/>
      <sz val="11"/>
      <color rgb="FFC55A11"/>
      <name val="Calibri"/>
      <family val="2"/>
      <charset val="1"/>
    </font>
    <font>
      <sz val="11"/>
      <color rgb="FFC55A11"/>
      <name val="Calibri"/>
      <family val="2"/>
      <charset val="1"/>
    </font>
    <font>
      <sz val="10"/>
      <color theme="0"/>
      <name val="Calibri"/>
      <family val="2"/>
      <charset val="1"/>
    </font>
    <font>
      <i val="true"/>
      <sz val="11"/>
      <color rgb="FFA5A5A5"/>
      <name val="Times New Roman"/>
      <family val="1"/>
      <charset val="1"/>
    </font>
    <font>
      <sz val="11"/>
      <color rgb="FFA5A5A5"/>
      <name val="Times New Roman"/>
      <family val="1"/>
      <charset val="1"/>
    </font>
    <font>
      <sz val="11"/>
      <color rgb="FF0070C0"/>
      <name val="Calibri"/>
      <family val="2"/>
      <charset val="1"/>
    </font>
    <font>
      <sz val="10"/>
      <name val="Times New Roman"/>
      <family val="1"/>
      <charset val="1"/>
    </font>
    <font>
      <sz val="11"/>
      <name val="Calibri"/>
      <family val="2"/>
      <charset val="1"/>
    </font>
    <font>
      <i val="true"/>
      <sz val="10"/>
      <color theme="1"/>
      <name val="Times New Roman"/>
      <family val="1"/>
      <charset val="1"/>
    </font>
    <font>
      <sz val="10"/>
      <name val="Arial"/>
      <family val="2"/>
    </font>
    <font>
      <b val="true"/>
      <sz val="14"/>
      <color theme="1"/>
      <name val="Arial Black"/>
      <family val="2"/>
      <charset val="1"/>
    </font>
    <font>
      <b val="true"/>
      <sz val="14"/>
      <color rgb="FFFF0000"/>
      <name val="Arial Black"/>
      <family val="2"/>
      <charset val="1"/>
    </font>
    <font>
      <sz val="14"/>
      <color rgb="FFFF0000"/>
      <name val="Calibri"/>
      <family val="2"/>
      <charset val="1"/>
    </font>
    <font>
      <u val="single"/>
      <sz val="14"/>
      <color rgb="FFFF0000"/>
      <name val="Calibri"/>
      <family val="2"/>
      <charset val="1"/>
    </font>
    <font>
      <sz val="14"/>
      <color theme="1"/>
      <name val="Calibri"/>
      <family val="2"/>
      <charset val="1"/>
    </font>
    <font>
      <sz val="14"/>
      <color theme="0"/>
      <name val="Calibri"/>
      <family val="2"/>
      <charset val="1"/>
    </font>
    <font>
      <u val="single"/>
      <sz val="11"/>
      <color theme="10"/>
      <name val="Calibri"/>
      <family val="2"/>
      <charset val="1"/>
    </font>
    <font>
      <b val="true"/>
      <sz val="14"/>
      <color rgb="FFFF0000"/>
      <name val="Calibri"/>
      <family val="2"/>
      <charset val="1"/>
    </font>
    <font>
      <b val="true"/>
      <sz val="14"/>
      <color theme="5"/>
      <name val="Calibri"/>
      <family val="2"/>
      <charset val="1"/>
    </font>
    <font>
      <b val="true"/>
      <u val="single"/>
      <sz val="18"/>
      <color theme="10"/>
      <name val="Calibri"/>
      <family val="2"/>
      <charset val="1"/>
    </font>
    <font>
      <b val="true"/>
      <u val="single"/>
      <sz val="18"/>
      <color theme="0"/>
      <name val="Calibri"/>
      <family val="2"/>
      <charset val="1"/>
    </font>
    <font>
      <b val="true"/>
      <sz val="11"/>
      <color theme="0"/>
      <name val="Arial"/>
      <family val="2"/>
      <charset val="1"/>
    </font>
    <font>
      <b val="true"/>
      <sz val="11"/>
      <color rgb="FFFF0000"/>
      <name val="Arial"/>
      <family val="2"/>
      <charset val="1"/>
    </font>
    <font>
      <b val="true"/>
      <u val="single"/>
      <sz val="12"/>
      <color theme="10"/>
      <name val="Calibri"/>
      <family val="2"/>
      <charset val="1"/>
    </font>
    <font>
      <sz val="10"/>
      <color theme="0"/>
      <name val="Arial"/>
      <family val="2"/>
      <charset val="1"/>
    </font>
    <font>
      <u val="single"/>
      <sz val="12"/>
      <color theme="10"/>
      <name val="Calibri"/>
      <family val="2"/>
      <charset val="1"/>
    </font>
    <font>
      <sz val="12"/>
      <color rgb="FF000000"/>
      <name val="Calibri"/>
      <family val="2"/>
      <charset val="1"/>
    </font>
    <font>
      <sz val="12"/>
      <color rgb="FF000000"/>
      <name val="Arial"/>
      <family val="2"/>
      <charset val="1"/>
    </font>
    <font>
      <b val="true"/>
      <sz val="12"/>
      <color theme="1"/>
      <name val="Arial"/>
      <family val="2"/>
      <charset val="1"/>
    </font>
    <font>
      <sz val="18"/>
      <color theme="1"/>
      <name val="Calibri"/>
      <family val="2"/>
      <charset val="1"/>
    </font>
    <font>
      <sz val="16"/>
      <color theme="0"/>
      <name val="Calibri"/>
      <family val="2"/>
      <charset val="1"/>
    </font>
    <font>
      <sz val="16"/>
      <color theme="1"/>
      <name val="Calibri"/>
      <family val="2"/>
      <charset val="1"/>
    </font>
  </fonts>
  <fills count="10">
    <fill>
      <patternFill patternType="none"/>
    </fill>
    <fill>
      <patternFill patternType="gray125"/>
    </fill>
    <fill>
      <patternFill patternType="solid">
        <fgColor rgb="FFE7E6E6"/>
        <bgColor rgb="FFECECEC"/>
      </patternFill>
    </fill>
    <fill>
      <patternFill patternType="solid">
        <fgColor theme="0"/>
        <bgColor rgb="FFECECEC"/>
      </patternFill>
    </fill>
    <fill>
      <patternFill patternType="solid">
        <fgColor rgb="FF548135"/>
        <bgColor rgb="FF808080"/>
      </patternFill>
    </fill>
    <fill>
      <patternFill patternType="solid">
        <fgColor rgb="FFAEABAB"/>
        <bgColor rgb="FFA5A5A5"/>
      </patternFill>
    </fill>
    <fill>
      <patternFill patternType="solid">
        <fgColor theme="1"/>
        <bgColor rgb="FF003300"/>
      </patternFill>
    </fill>
    <fill>
      <patternFill patternType="solid">
        <fgColor rgb="FF002060"/>
        <bgColor rgb="FF000080"/>
      </patternFill>
    </fill>
    <fill>
      <patternFill patternType="solid">
        <fgColor rgb="FFE2EFD9"/>
        <bgColor rgb="FFE7E6E6"/>
      </patternFill>
    </fill>
    <fill>
      <patternFill patternType="solid">
        <fgColor rgb="FFECECEC"/>
        <bgColor rgb="FFE7E6E6"/>
      </patternFill>
    </fill>
  </fills>
  <borders count="49">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style="thin"/>
      <bottom/>
      <diagonal/>
    </border>
    <border diagonalUp="false" diagonalDown="false">
      <left/>
      <right/>
      <top style="thin"/>
      <bottom style="thin"/>
      <diagonal/>
    </border>
    <border diagonalUp="false" diagonalDown="false">
      <left style="thin"/>
      <right style="medium"/>
      <top style="thin"/>
      <bottom style="thin"/>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medium"/>
      <right style="thin"/>
      <top style="thin"/>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medium"/>
      <top style="medium"/>
      <bottom style="medium"/>
      <diagonal/>
    </border>
    <border diagonalUp="false" diagonalDown="false">
      <left style="medium"/>
      <right style="thin"/>
      <top style="medium"/>
      <bottom style="medium"/>
      <diagonal/>
    </border>
    <border diagonalUp="false" diagonalDown="false">
      <left style="thin"/>
      <right/>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medium"/>
      <top/>
      <bottom style="thin"/>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general" vertical="bottom" textRotation="0" wrapText="tru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right"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right"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4" fillId="2" borderId="7" xfId="0" applyFont="true" applyBorder="true" applyAlignment="true" applyProtection="false">
      <alignment horizontal="right" vertical="bottom" textRotation="0" wrapText="false" indent="0" shrinkToFit="false"/>
      <protection locked="true" hidden="false"/>
    </xf>
    <xf numFmtId="164" fontId="4" fillId="2" borderId="7" xfId="0" applyFont="true" applyBorder="true" applyAlignment="false" applyProtection="false">
      <alignment horizontal="general" vertical="bottom" textRotation="0" wrapText="false" indent="0" shrinkToFit="false"/>
      <protection locked="true" hidden="false"/>
    </xf>
    <xf numFmtId="164" fontId="15" fillId="2" borderId="7" xfId="0" applyFont="true" applyBorder="true" applyAlignment="true" applyProtection="false">
      <alignment horizontal="center" vertical="center" textRotation="0" wrapText="false" indent="0" shrinkToFit="false"/>
      <protection locked="true" hidden="false"/>
    </xf>
    <xf numFmtId="164" fontId="4" fillId="2" borderId="8"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true" applyAlignment="false" applyProtection="false">
      <alignment horizontal="general" vertical="bottom" textRotation="0" wrapText="false" indent="0" shrinkToFit="false"/>
      <protection locked="true" hidden="false"/>
    </xf>
    <xf numFmtId="164" fontId="20" fillId="3" borderId="0"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true" applyAlignment="false" applyProtection="false">
      <alignment horizontal="general" vertical="bottom" textRotation="0" wrapText="false" indent="0" shrinkToFit="false"/>
      <protection locked="true" hidden="false"/>
    </xf>
    <xf numFmtId="164" fontId="22" fillId="3"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center" textRotation="0" wrapText="true" indent="0" shrinkToFit="false"/>
      <protection locked="true" hidden="false"/>
    </xf>
    <xf numFmtId="164" fontId="23" fillId="0" borderId="2"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4" fontId="4" fillId="0" borderId="9" xfId="0" applyFont="true" applyBorder="true" applyAlignment="true" applyProtection="false">
      <alignment horizontal="center" vertical="center" textRotation="0" wrapText="true" indent="0" shrinkToFit="false"/>
      <protection locked="true" hidden="false"/>
    </xf>
    <xf numFmtId="164" fontId="25" fillId="0" borderId="10" xfId="0" applyFont="true" applyBorder="true" applyAlignment="true" applyProtection="false">
      <alignment horizontal="left" vertical="center" textRotation="0" wrapText="true" indent="0" shrinkToFit="false"/>
      <protection locked="true" hidden="false"/>
    </xf>
    <xf numFmtId="164" fontId="4" fillId="0" borderId="11" xfId="0" applyFont="true" applyBorder="true" applyAlignment="true" applyProtection="false">
      <alignment horizontal="left" vertical="center" textRotation="0" wrapText="true" indent="0" shrinkToFit="false"/>
      <protection locked="true" hidden="false"/>
    </xf>
    <xf numFmtId="164" fontId="9" fillId="0" borderId="12" xfId="0" applyFont="true" applyBorder="true" applyAlignment="true" applyProtection="false">
      <alignment horizontal="general" vertical="center" textRotation="0" wrapText="true" indent="0" shrinkToFit="false"/>
      <protection locked="true" hidden="false"/>
    </xf>
    <xf numFmtId="164" fontId="9" fillId="0" borderId="13" xfId="0" applyFont="true" applyBorder="true" applyAlignment="true" applyProtection="false">
      <alignment horizontal="general" vertical="center" textRotation="0" wrapText="true" indent="0" shrinkToFit="false"/>
      <protection locked="true" hidden="false"/>
    </xf>
    <xf numFmtId="164" fontId="4" fillId="0" borderId="14" xfId="0" applyFont="true" applyBorder="true" applyAlignment="true" applyProtection="false">
      <alignment horizontal="left" vertical="center" textRotation="0" wrapText="true" indent="0" shrinkToFit="false"/>
      <protection locked="true" hidden="false"/>
    </xf>
    <xf numFmtId="164" fontId="25" fillId="2" borderId="15" xfId="0" applyFont="true" applyBorder="true" applyAlignment="true" applyProtection="false">
      <alignment horizontal="left" vertical="center" textRotation="0" wrapText="true" indent="0" shrinkToFit="false"/>
      <protection locked="true" hidden="false"/>
    </xf>
    <xf numFmtId="164" fontId="4" fillId="3" borderId="15" xfId="0" applyFont="true" applyBorder="true" applyAlignment="true" applyProtection="false">
      <alignment horizontal="center" vertical="center" textRotation="0" wrapText="true" indent="0" shrinkToFit="false"/>
      <protection locked="true" hidden="false"/>
    </xf>
    <xf numFmtId="164" fontId="4" fillId="0" borderId="13" xfId="0" applyFont="true" applyBorder="true" applyAlignment="true" applyProtection="false">
      <alignment horizontal="center" vertical="center" textRotation="0" wrapText="true" indent="0" shrinkToFit="false"/>
      <protection locked="true" hidden="false"/>
    </xf>
    <xf numFmtId="164" fontId="25" fillId="0" borderId="14" xfId="0" applyFont="true" applyBorder="true" applyAlignment="true" applyProtection="false">
      <alignment horizontal="left" vertical="center" textRotation="0" wrapText="true" indent="0" shrinkToFit="false"/>
      <protection locked="true" hidden="false"/>
    </xf>
    <xf numFmtId="165" fontId="4" fillId="0" borderId="16" xfId="0" applyFont="true" applyBorder="true" applyAlignment="true" applyProtection="false">
      <alignment horizontal="center" vertical="center" textRotation="0" wrapText="true" indent="0" shrinkToFit="false"/>
      <protection locked="true" hidden="false"/>
    </xf>
    <xf numFmtId="164" fontId="25" fillId="0" borderId="15" xfId="0" applyFont="true" applyBorder="true" applyAlignment="true" applyProtection="false">
      <alignment horizontal="left" vertical="center" textRotation="0" wrapText="true" indent="0" shrinkToFit="false"/>
      <protection locked="true" hidden="false"/>
    </xf>
    <xf numFmtId="164" fontId="4" fillId="2" borderId="15" xfId="0" applyFont="true" applyBorder="true" applyAlignment="true" applyProtection="false">
      <alignment horizontal="center" vertical="center" textRotation="0" wrapText="true" indent="0" shrinkToFit="false"/>
      <protection locked="true" hidden="false"/>
    </xf>
    <xf numFmtId="164" fontId="4" fillId="0" borderId="17" xfId="0" applyFont="true" applyBorder="true" applyAlignment="true" applyProtection="false">
      <alignment horizontal="left" vertical="center" textRotation="0" wrapText="true" indent="0" shrinkToFit="false"/>
      <protection locked="true" hidden="false"/>
    </xf>
    <xf numFmtId="164" fontId="25" fillId="0" borderId="15" xfId="0" applyFont="true" applyBorder="true" applyAlignment="true" applyProtection="false">
      <alignment horizontal="center" vertical="center" textRotation="0" wrapText="true" indent="0" shrinkToFit="false"/>
      <protection locked="true" hidden="false"/>
    </xf>
    <xf numFmtId="164" fontId="4" fillId="0" borderId="15" xfId="0" applyFont="true" applyBorder="true" applyAlignment="true" applyProtection="false">
      <alignment horizontal="center" vertical="center" textRotation="0" wrapText="true" indent="0" shrinkToFit="false"/>
      <protection locked="true" hidden="false"/>
    </xf>
    <xf numFmtId="164" fontId="4" fillId="0" borderId="14" xfId="0" applyFont="true" applyBorder="true" applyAlignment="true" applyProtection="false">
      <alignment horizontal="center" vertical="center" textRotation="0" wrapText="true" indent="0" shrinkToFit="false"/>
      <protection locked="true" hidden="false"/>
    </xf>
    <xf numFmtId="164" fontId="25" fillId="0" borderId="11" xfId="0" applyFont="true" applyBorder="true" applyAlignment="true" applyProtection="false">
      <alignment horizontal="left" vertical="center" textRotation="0" wrapText="true" indent="0" shrinkToFit="false"/>
      <protection locked="true" hidden="false"/>
    </xf>
    <xf numFmtId="165" fontId="26" fillId="4" borderId="14" xfId="0" applyFont="true" applyBorder="true" applyAlignment="true" applyProtection="false">
      <alignment horizontal="center" vertical="center" textRotation="0" wrapText="true" indent="0" shrinkToFit="false"/>
      <protection locked="true" hidden="false"/>
    </xf>
    <xf numFmtId="164" fontId="4" fillId="2" borderId="14" xfId="0" applyFont="true" applyBorder="true" applyAlignment="true" applyProtection="false">
      <alignment horizontal="general" vertical="center" textRotation="0" wrapText="true" indent="0" shrinkToFit="false"/>
      <protection locked="true" hidden="false"/>
    </xf>
    <xf numFmtId="164" fontId="4" fillId="2" borderId="10" xfId="0" applyFont="true" applyBorder="true" applyAlignment="true" applyProtection="false">
      <alignment horizontal="general" vertical="center" textRotation="0" wrapText="true" indent="0" shrinkToFit="false"/>
      <protection locked="true" hidden="false"/>
    </xf>
    <xf numFmtId="164" fontId="4" fillId="2" borderId="17" xfId="0" applyFont="true" applyBorder="true" applyAlignment="true" applyProtection="false">
      <alignment horizontal="general" vertical="center" textRotation="0" wrapText="true" indent="0" shrinkToFit="false"/>
      <protection locked="true" hidden="false"/>
    </xf>
    <xf numFmtId="164" fontId="27" fillId="0" borderId="18" xfId="0" applyFont="true" applyBorder="true" applyAlignment="true" applyProtection="false">
      <alignment horizontal="center" vertical="center" textRotation="0" wrapText="true" indent="0" shrinkToFit="false"/>
      <protection locked="true" hidden="false"/>
    </xf>
    <xf numFmtId="164" fontId="27" fillId="0" borderId="19" xfId="0" applyFont="true" applyBorder="true" applyAlignment="true" applyProtection="false">
      <alignment horizontal="left"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4" fillId="0" borderId="4" xfId="0" applyFont="true" applyBorder="true" applyAlignment="true" applyProtection="false">
      <alignment horizontal="center" vertical="top" textRotation="0" wrapText="true" indent="0" shrinkToFit="false"/>
      <protection locked="true" hidden="false"/>
    </xf>
    <xf numFmtId="164" fontId="4" fillId="0" borderId="15" xfId="0" applyFont="true" applyBorder="true" applyAlignment="true" applyProtection="false">
      <alignment horizontal="left" vertical="center" textRotation="0" wrapText="true" indent="0" shrinkToFit="false"/>
      <protection locked="true" hidden="false"/>
    </xf>
    <xf numFmtId="164" fontId="29" fillId="0" borderId="5" xfId="0" applyFont="true" applyBorder="true" applyAlignment="true" applyProtection="false">
      <alignment horizontal="general" vertical="center" textRotation="0" wrapText="tru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4" fontId="30" fillId="3" borderId="0" xfId="0" applyFont="true" applyBorder="true" applyAlignment="true" applyProtection="false">
      <alignment horizontal="general" vertical="bottom" textRotation="0" wrapText="true" indent="0" shrinkToFit="false"/>
      <protection locked="true" hidden="false"/>
    </xf>
    <xf numFmtId="164" fontId="4" fillId="5" borderId="15" xfId="0" applyFont="true" applyBorder="true" applyAlignment="true" applyProtection="false">
      <alignment horizontal="center" vertical="center" textRotation="0" wrapText="true" indent="0" shrinkToFit="false"/>
      <protection locked="true" hidden="false"/>
    </xf>
    <xf numFmtId="164" fontId="4" fillId="5" borderId="15" xfId="0" applyFont="true" applyBorder="true" applyAlignment="true" applyProtection="false">
      <alignment horizontal="left" vertical="center" textRotation="0" wrapText="true" indent="0" shrinkToFit="false"/>
      <protection locked="true" hidden="false"/>
    </xf>
    <xf numFmtId="164" fontId="30" fillId="3" borderId="0" xfId="0" applyFont="true" applyBorder="true" applyAlignment="false" applyProtection="false">
      <alignment horizontal="general" vertical="bottom" textRotation="0" wrapText="false" indent="0" shrinkToFit="false"/>
      <protection locked="true" hidden="false"/>
    </xf>
    <xf numFmtId="164" fontId="27" fillId="0" borderId="21" xfId="0" applyFont="true" applyBorder="true" applyAlignment="true" applyProtection="false">
      <alignment horizontal="center" vertical="center" textRotation="0" wrapText="true" indent="0" shrinkToFit="false"/>
      <protection locked="true" hidden="false"/>
    </xf>
    <xf numFmtId="164" fontId="27" fillId="0" borderId="22" xfId="0" applyFont="true" applyBorder="true" applyAlignment="true" applyProtection="false">
      <alignment horizontal="left" vertical="center" textRotation="0" wrapText="true" indent="0" shrinkToFit="false"/>
      <protection locked="true" hidden="false"/>
    </xf>
    <xf numFmtId="164" fontId="29" fillId="0" borderId="22" xfId="0" applyFont="true" applyBorder="true" applyAlignment="true" applyProtection="false">
      <alignment horizontal="center" vertical="center" textRotation="0" wrapText="true" indent="0" shrinkToFit="false"/>
      <protection locked="true" hidden="false"/>
    </xf>
    <xf numFmtId="164" fontId="29" fillId="0" borderId="23" xfId="0" applyFont="true" applyBorder="true" applyAlignment="true" applyProtection="false">
      <alignment horizontal="center" vertical="center" textRotation="0" wrapText="true" indent="0" shrinkToFit="false"/>
      <protection locked="true" hidden="false"/>
    </xf>
    <xf numFmtId="164" fontId="4" fillId="0" borderId="12" xfId="0" applyFont="true" applyBorder="true" applyAlignment="true" applyProtection="false">
      <alignment horizontal="center" vertical="center" textRotation="0" wrapText="true" indent="0" shrinkToFit="false"/>
      <protection locked="true" hidden="false"/>
    </xf>
    <xf numFmtId="164" fontId="25" fillId="0" borderId="5" xfId="0" applyFont="true" applyBorder="true" applyAlignment="true" applyProtection="false">
      <alignment horizontal="left" vertical="center" textRotation="0" wrapText="true" indent="0" shrinkToFit="false"/>
      <protection locked="true" hidden="false"/>
    </xf>
    <xf numFmtId="164" fontId="27" fillId="0" borderId="12"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25" fillId="2" borderId="15" xfId="0" applyFont="true" applyBorder="true" applyAlignment="true" applyProtection="false">
      <alignment horizontal="center" vertical="center" textRotation="0" wrapText="true" indent="0" shrinkToFit="false"/>
      <protection locked="true" hidden="false"/>
    </xf>
    <xf numFmtId="164" fontId="25" fillId="2" borderId="14" xfId="0" applyFont="true" applyBorder="true" applyAlignment="true" applyProtection="false">
      <alignment horizontal="center" vertical="center" textRotation="0" wrapText="true" indent="0" shrinkToFit="false"/>
      <protection locked="true" hidden="false"/>
    </xf>
    <xf numFmtId="164" fontId="32" fillId="3" borderId="0" xfId="0" applyFont="true" applyBorder="true" applyAlignment="false" applyProtection="false">
      <alignment horizontal="general" vertical="bottom" textRotation="0" wrapText="false" indent="0" shrinkToFit="false"/>
      <protection locked="true" hidden="false"/>
    </xf>
    <xf numFmtId="164" fontId="25" fillId="2" borderId="15" xfId="0" applyFont="true" applyBorder="true" applyAlignment="true" applyProtection="false">
      <alignment horizontal="center" vertical="center" textRotation="90" wrapText="true" indent="0" shrinkToFit="false"/>
      <protection locked="true" hidden="false"/>
    </xf>
    <xf numFmtId="164" fontId="4" fillId="2" borderId="15" xfId="0" applyFont="true" applyBorder="true" applyAlignment="true" applyProtection="false">
      <alignment horizontal="center" vertical="center" textRotation="90" wrapText="true" indent="0" shrinkToFit="false"/>
      <protection locked="true" hidden="false"/>
    </xf>
    <xf numFmtId="164" fontId="4" fillId="2" borderId="14" xfId="0" applyFont="true" applyBorder="true" applyAlignment="true" applyProtection="false">
      <alignment horizontal="center" vertical="center" textRotation="90" wrapText="true" indent="0" shrinkToFit="false"/>
      <protection locked="true" hidden="false"/>
    </xf>
    <xf numFmtId="164" fontId="4" fillId="0" borderId="15" xfId="0" applyFont="true" applyBorder="true" applyAlignment="true" applyProtection="false">
      <alignment horizontal="center" vertical="bottom" textRotation="0" wrapText="false" indent="0" shrinkToFit="false"/>
      <protection locked="true" hidden="false"/>
    </xf>
    <xf numFmtId="164" fontId="4" fillId="5" borderId="15" xfId="0" applyFont="true" applyBorder="true" applyAlignment="true" applyProtection="false">
      <alignment horizontal="left" vertical="bottom" textRotation="0" wrapText="false" indent="0" shrinkToFit="false"/>
      <protection locked="true" hidden="false"/>
    </xf>
    <xf numFmtId="164" fontId="33" fillId="3" borderId="0" xfId="0" applyFont="true" applyBorder="true" applyAlignment="false" applyProtection="false">
      <alignment horizontal="general" vertical="bottom" textRotation="0" wrapText="false" indent="0" shrinkToFit="false"/>
      <protection locked="true" hidden="false"/>
    </xf>
    <xf numFmtId="164" fontId="34" fillId="6" borderId="0" xfId="0" applyFont="true" applyBorder="true" applyAlignment="true" applyProtection="false">
      <alignment horizontal="left" vertical="bottom" textRotation="0" wrapText="false" indent="0" shrinkToFit="false"/>
      <protection locked="true" hidden="false"/>
    </xf>
    <xf numFmtId="164" fontId="35" fillId="3" borderId="0" xfId="0" applyFont="true" applyBorder="true" applyAlignment="false" applyProtection="false">
      <alignment horizontal="general" vertical="bottom" textRotation="0" wrapText="false" indent="0" shrinkToFit="false"/>
      <protection locked="true" hidden="false"/>
    </xf>
    <xf numFmtId="164" fontId="4" fillId="2" borderId="24" xfId="0" applyFont="true" applyBorder="true" applyAlignment="true" applyProtection="false">
      <alignment horizontal="center" vertical="center" textRotation="0" wrapText="true" indent="0" shrinkToFit="false"/>
      <protection locked="true" hidden="false"/>
    </xf>
    <xf numFmtId="164" fontId="4" fillId="2" borderId="25" xfId="0" applyFont="true" applyBorder="true" applyAlignment="false" applyProtection="false">
      <alignment horizontal="general" vertical="bottom" textRotation="0" wrapText="false" indent="0" shrinkToFit="false"/>
      <protection locked="true" hidden="false"/>
    </xf>
    <xf numFmtId="164" fontId="22" fillId="6" borderId="0" xfId="0" applyFont="true" applyBorder="true" applyAlignment="false" applyProtection="false">
      <alignment horizontal="general" vertical="bottom" textRotation="0" wrapText="false" indent="0" shrinkToFit="false"/>
      <protection locked="true" hidden="false"/>
    </xf>
    <xf numFmtId="164" fontId="4" fillId="2" borderId="26" xfId="0" applyFont="true" applyBorder="true" applyAlignment="true" applyProtection="false">
      <alignment horizontal="center" vertical="center" textRotation="0" wrapText="true" indent="0" shrinkToFit="false"/>
      <protection locked="true" hidden="false"/>
    </xf>
    <xf numFmtId="164" fontId="4" fillId="2" borderId="22" xfId="0" applyFont="true" applyBorder="true" applyAlignment="false" applyProtection="false">
      <alignment horizontal="general" vertical="bottom" textRotation="0" wrapText="false" indent="0" shrinkToFit="false"/>
      <protection locked="true" hidden="false"/>
    </xf>
    <xf numFmtId="164" fontId="4" fillId="2" borderId="2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true" applyAlignment="true" applyProtection="false">
      <alignment horizontal="left" vertical="center" textRotation="0" wrapText="true" indent="0" shrinkToFit="false"/>
      <protection locked="true" hidden="false"/>
    </xf>
    <xf numFmtId="164" fontId="38" fillId="0" borderId="0" xfId="0" applyFont="true" applyBorder="true" applyAlignment="true" applyProtection="false">
      <alignment horizontal="left" vertical="center" textRotation="0" wrapText="true" indent="0" shrinkToFit="false"/>
      <protection locked="true" hidden="false"/>
    </xf>
    <xf numFmtId="164" fontId="25" fillId="0" borderId="28" xfId="0" applyFont="true" applyBorder="true" applyAlignment="true" applyProtection="false">
      <alignment horizontal="left" vertical="center" textRotation="0" wrapText="true" indent="0" shrinkToFit="false"/>
      <protection locked="true" hidden="false"/>
    </xf>
    <xf numFmtId="164" fontId="21" fillId="6" borderId="0" xfId="0" applyFont="true" applyBorder="true" applyAlignment="false" applyProtection="false">
      <alignment horizontal="general" vertical="bottom" textRotation="0" wrapText="false" indent="0" shrinkToFit="false"/>
      <protection locked="true" hidden="false"/>
    </xf>
    <xf numFmtId="164" fontId="25" fillId="0" borderId="24" xfId="0" applyFont="true" applyBorder="true" applyAlignment="true" applyProtection="false">
      <alignment horizontal="center" vertical="center" textRotation="0" wrapText="true" indent="0" shrinkToFit="false"/>
      <protection locked="true" hidden="false"/>
    </xf>
    <xf numFmtId="164" fontId="13" fillId="0" borderId="15" xfId="0" applyFont="true" applyBorder="true" applyAlignment="true" applyProtection="false">
      <alignment horizontal="left" vertical="center" textRotation="0" wrapText="true" indent="0" shrinkToFit="false"/>
      <protection locked="true" hidden="false"/>
    </xf>
    <xf numFmtId="164" fontId="4" fillId="2" borderId="29" xfId="0" applyFont="true" applyBorder="true" applyAlignment="true" applyProtection="false">
      <alignment horizontal="center" vertical="top" textRotation="0" wrapText="true" indent="0" shrinkToFit="false"/>
      <protection locked="true" hidden="false"/>
    </xf>
    <xf numFmtId="164" fontId="4" fillId="0" borderId="29" xfId="0" applyFont="true" applyBorder="true" applyAlignment="true" applyProtection="false">
      <alignment horizontal="left" vertical="top" textRotation="0" wrapText="true" indent="0" shrinkToFit="false"/>
      <protection locked="true" hidden="false"/>
    </xf>
    <xf numFmtId="164" fontId="27" fillId="0" borderId="13" xfId="0" applyFont="true" applyBorder="true" applyAlignment="true" applyProtection="false">
      <alignment horizontal="center" vertical="center" textRotation="0" wrapText="true" indent="0" shrinkToFit="false"/>
      <protection locked="true" hidden="false"/>
    </xf>
    <xf numFmtId="164" fontId="27" fillId="0" borderId="22" xfId="0" applyFont="true" applyBorder="true" applyAlignment="true" applyProtection="false">
      <alignment horizontal="general" vertical="center" textRotation="0" wrapText="true" indent="0" shrinkToFit="false"/>
      <protection locked="true" hidden="false"/>
    </xf>
    <xf numFmtId="164" fontId="28" fillId="0" borderId="22" xfId="0" applyFont="true" applyBorder="true" applyAlignment="true" applyProtection="false">
      <alignment horizontal="general" vertical="center" textRotation="0" wrapText="true" indent="0" shrinkToFit="false"/>
      <protection locked="true" hidden="false"/>
    </xf>
    <xf numFmtId="164" fontId="4" fillId="0" borderId="22" xfId="0" applyFont="true" applyBorder="true" applyAlignment="false" applyProtection="false">
      <alignment horizontal="general" vertical="bottom" textRotation="0" wrapText="false" indent="0" shrinkToFit="false"/>
      <protection locked="true" hidden="false"/>
    </xf>
    <xf numFmtId="164" fontId="4" fillId="0" borderId="2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center" textRotation="0" wrapText="true" indent="0" shrinkToFit="false"/>
      <protection locked="true" hidden="false"/>
    </xf>
    <xf numFmtId="164" fontId="4" fillId="0" borderId="5"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25" fillId="2" borderId="30" xfId="0" applyFont="true" applyBorder="true" applyAlignment="true" applyProtection="false">
      <alignment horizontal="center" vertical="center" textRotation="0" wrapText="false" indent="0" shrinkToFit="false"/>
      <protection locked="true" hidden="false"/>
    </xf>
    <xf numFmtId="164" fontId="4" fillId="2" borderId="14" xfId="0" applyFont="true" applyBorder="true" applyAlignment="true" applyProtection="false">
      <alignment horizontal="center" vertical="center" textRotation="0" wrapText="true" indent="0" shrinkToFit="false"/>
      <protection locked="true" hidden="false"/>
    </xf>
    <xf numFmtId="164" fontId="4" fillId="0" borderId="31" xfId="0" applyFont="true" applyBorder="true" applyAlignment="true" applyProtection="false">
      <alignment horizontal="left" vertical="center" textRotation="0" wrapText="true" indent="0" shrinkToFit="false"/>
      <protection locked="true" hidden="false"/>
    </xf>
    <xf numFmtId="164" fontId="4" fillId="2" borderId="30" xfId="0" applyFont="true" applyBorder="true" applyAlignment="true" applyProtection="false">
      <alignment horizontal="center" vertical="center" textRotation="0" wrapText="true" indent="0" shrinkToFit="false"/>
      <protection locked="true" hidden="false"/>
    </xf>
    <xf numFmtId="164" fontId="4" fillId="2" borderId="32" xfId="0" applyFont="true" applyBorder="true" applyAlignment="true" applyProtection="false">
      <alignment horizontal="center" vertical="center" textRotation="0" wrapText="true" indent="0" shrinkToFit="false"/>
      <protection locked="true" hidden="false"/>
    </xf>
    <xf numFmtId="164" fontId="4" fillId="0" borderId="31" xfId="0" applyFont="true" applyBorder="true" applyAlignment="true" applyProtection="false">
      <alignment horizontal="center" vertical="center" textRotation="0" wrapText="true" indent="0" shrinkToFit="false"/>
      <protection locked="true" hidden="false"/>
    </xf>
    <xf numFmtId="164" fontId="4" fillId="0" borderId="1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4" fillId="2" borderId="25" xfId="0" applyFont="true" applyBorder="true" applyAlignment="true" applyProtection="false">
      <alignment horizontal="center" vertical="center" textRotation="0" wrapText="true" indent="0" shrinkToFit="false"/>
      <protection locked="true" hidden="false"/>
    </xf>
    <xf numFmtId="164" fontId="4" fillId="2" borderId="29" xfId="0" applyFont="true" applyBorder="true" applyAlignment="true" applyProtection="false">
      <alignment horizontal="center" vertical="center" textRotation="0" wrapText="true" indent="0" shrinkToFit="false"/>
      <protection locked="true" hidden="false"/>
    </xf>
    <xf numFmtId="164" fontId="24" fillId="0" borderId="15" xfId="0" applyFont="true" applyBorder="true" applyAlignment="true" applyProtection="false">
      <alignment horizontal="right" vertical="center" textRotation="0" wrapText="true" indent="0" shrinkToFit="false"/>
      <protection locked="true" hidden="false"/>
    </xf>
    <xf numFmtId="165" fontId="26" fillId="4" borderId="32" xfId="0" applyFont="true" applyBorder="true" applyAlignment="true" applyProtection="false">
      <alignment horizontal="right" vertical="center" textRotation="0" wrapText="false" indent="0" shrinkToFit="false"/>
      <protection locked="true" hidden="false"/>
    </xf>
    <xf numFmtId="164" fontId="25" fillId="2" borderId="33" xfId="0" applyFont="true" applyBorder="true" applyAlignment="true" applyProtection="false">
      <alignment horizontal="center" vertical="center" textRotation="0" wrapText="true" indent="0" shrinkToFit="false"/>
      <protection locked="true" hidden="false"/>
    </xf>
    <xf numFmtId="164" fontId="4" fillId="2" borderId="33" xfId="0" applyFont="true" applyBorder="true" applyAlignment="false" applyProtection="false">
      <alignment horizontal="general" vertical="bottom" textRotation="0" wrapText="false" indent="0" shrinkToFit="false"/>
      <protection locked="true" hidden="false"/>
    </xf>
    <xf numFmtId="164" fontId="4" fillId="2" borderId="19" xfId="0" applyFont="true" applyBorder="true" applyAlignment="false" applyProtection="false">
      <alignment horizontal="general" vertical="bottom" textRotation="0" wrapText="false" indent="0" shrinkToFit="false"/>
      <protection locked="true" hidden="false"/>
    </xf>
    <xf numFmtId="164" fontId="4" fillId="2" borderId="34" xfId="0" applyFont="true" applyBorder="true" applyAlignment="false" applyProtection="false">
      <alignment horizontal="general" vertical="bottom" textRotation="0" wrapText="false" indent="0" shrinkToFit="false"/>
      <protection locked="true" hidden="false"/>
    </xf>
    <xf numFmtId="164" fontId="4" fillId="2" borderId="24" xfId="0" applyFont="true" applyBorder="true" applyAlignment="false" applyProtection="false">
      <alignment horizontal="general" vertical="bottom" textRotation="0" wrapText="false" indent="0" shrinkToFit="false"/>
      <protection locked="true" hidden="false"/>
    </xf>
    <xf numFmtId="164" fontId="4" fillId="0" borderId="15" xfId="0" applyFont="true" applyBorder="true" applyAlignment="true" applyProtection="false">
      <alignment horizontal="center" vertical="center" textRotation="0" wrapText="false" indent="0" shrinkToFit="false"/>
      <protection locked="true" hidden="false"/>
    </xf>
    <xf numFmtId="164" fontId="4" fillId="2" borderId="26" xfId="0" applyFont="true" applyBorder="true" applyAlignment="false" applyProtection="false">
      <alignment horizontal="general" vertical="bottom" textRotation="0" wrapText="false" indent="0" shrinkToFit="false"/>
      <protection locked="true" hidden="false"/>
    </xf>
    <xf numFmtId="164" fontId="4" fillId="0" borderId="26" xfId="0" applyFont="true" applyBorder="true" applyAlignment="true" applyProtection="false">
      <alignment horizontal="center" vertical="center" textRotation="0" wrapText="true" indent="0" shrinkToFit="false"/>
      <protection locked="true" hidden="false"/>
    </xf>
    <xf numFmtId="164" fontId="24" fillId="0" borderId="30" xfId="0" applyFont="true" applyBorder="true" applyAlignment="true" applyProtection="false">
      <alignment horizontal="right" vertical="center" textRotation="0" wrapText="true" indent="0" shrinkToFit="false"/>
      <protection locked="true" hidden="false"/>
    </xf>
    <xf numFmtId="165" fontId="26" fillId="4" borderId="30" xfId="0" applyFont="true" applyBorder="true" applyAlignment="true" applyProtection="false">
      <alignment horizontal="right" vertical="center" textRotation="0" wrapText="false" indent="0" shrinkToFit="false"/>
      <protection locked="true" hidden="false"/>
    </xf>
    <xf numFmtId="164" fontId="4" fillId="7" borderId="14" xfId="0" applyFont="true" applyBorder="true" applyAlignment="true" applyProtection="false">
      <alignment horizontal="right" vertical="center" textRotation="0" wrapText="true" indent="0" shrinkToFit="false"/>
      <protection locked="true" hidden="false"/>
    </xf>
    <xf numFmtId="164" fontId="4" fillId="7" borderId="10" xfId="0" applyFont="true" applyBorder="true" applyAlignment="true" applyProtection="false">
      <alignment horizontal="right" vertical="center" textRotation="0" wrapText="true" indent="0" shrinkToFit="false"/>
      <protection locked="true" hidden="false"/>
    </xf>
    <xf numFmtId="164" fontId="4" fillId="7" borderId="31" xfId="0" applyFont="true" applyBorder="true" applyAlignment="true" applyProtection="false">
      <alignment horizontal="right" vertical="center" textRotation="0" wrapText="true" indent="0" shrinkToFit="false"/>
      <protection locked="true" hidden="false"/>
    </xf>
    <xf numFmtId="164" fontId="9" fillId="7" borderId="14" xfId="0" applyFont="true" applyBorder="true" applyAlignment="true" applyProtection="false">
      <alignment horizontal="right" vertical="center" textRotation="0" wrapText="false" indent="0" shrinkToFit="false"/>
      <protection locked="true" hidden="false"/>
    </xf>
    <xf numFmtId="164" fontId="9" fillId="7" borderId="10" xfId="0" applyFont="true" applyBorder="true" applyAlignment="true" applyProtection="false">
      <alignment horizontal="right" vertical="center" textRotation="0" wrapText="false" indent="0" shrinkToFit="false"/>
      <protection locked="true" hidden="false"/>
    </xf>
    <xf numFmtId="164" fontId="9" fillId="7" borderId="31" xfId="0" applyFont="true" applyBorder="true" applyAlignment="true" applyProtection="false">
      <alignment horizontal="right" vertical="center" textRotation="0" wrapText="false" indent="0" shrinkToFit="false"/>
      <protection locked="true" hidden="false"/>
    </xf>
    <xf numFmtId="164" fontId="25" fillId="0" borderId="15" xfId="0" applyFont="true" applyBorder="true" applyAlignment="true" applyProtection="false">
      <alignment horizontal="right" vertical="center" textRotation="0" wrapText="true" indent="0" shrinkToFit="false"/>
      <protection locked="true" hidden="false"/>
    </xf>
    <xf numFmtId="165" fontId="39" fillId="4" borderId="29" xfId="0" applyFont="true" applyBorder="true" applyAlignment="true" applyProtection="false">
      <alignment horizontal="right" vertical="center" textRotation="0" wrapText="false" indent="0" shrinkToFit="false"/>
      <protection locked="true" hidden="false"/>
    </xf>
    <xf numFmtId="165" fontId="39" fillId="4" borderId="30" xfId="0" applyFont="true" applyBorder="true" applyAlignment="true" applyProtection="false">
      <alignment horizontal="right" vertical="center" textRotation="0" wrapText="false" indent="0" shrinkToFit="false"/>
      <protection locked="true" hidden="false"/>
    </xf>
    <xf numFmtId="164" fontId="9" fillId="0" borderId="15" xfId="0" applyFont="true" applyBorder="true" applyAlignment="true" applyProtection="false">
      <alignment horizontal="center" vertical="center" textRotation="0" wrapText="true" indent="0" shrinkToFit="false"/>
      <protection locked="true" hidden="false"/>
    </xf>
    <xf numFmtId="164" fontId="25" fillId="0" borderId="33" xfId="0" applyFont="true" applyBorder="true" applyAlignment="true" applyProtection="false">
      <alignment horizontal="right" vertical="center" textRotation="0" wrapText="true" indent="0" shrinkToFit="false"/>
      <protection locked="true" hidden="false"/>
    </xf>
    <xf numFmtId="166" fontId="39" fillId="4" borderId="31" xfId="0" applyFont="true" applyBorder="true" applyAlignment="true" applyProtection="false">
      <alignment horizontal="right" vertical="center" textRotation="0" wrapText="false" indent="0" shrinkToFit="false"/>
      <protection locked="true" hidden="false"/>
    </xf>
    <xf numFmtId="166" fontId="26" fillId="4" borderId="34" xfId="0" applyFont="true" applyBorder="true" applyAlignment="true" applyProtection="false">
      <alignment horizontal="right" vertical="center" textRotation="0" wrapText="false" indent="0" shrinkToFit="false"/>
      <protection locked="true" hidden="false"/>
    </xf>
    <xf numFmtId="166" fontId="26" fillId="4" borderId="31" xfId="0" applyFont="true" applyBorder="true" applyAlignment="true" applyProtection="false">
      <alignment horizontal="right" vertical="center" textRotation="0" wrapText="false" indent="0" shrinkToFit="false"/>
      <protection locked="true" hidden="false"/>
    </xf>
    <xf numFmtId="164" fontId="9" fillId="0" borderId="30" xfId="0" applyFont="true" applyBorder="true" applyAlignment="true" applyProtection="false">
      <alignment horizontal="center" vertical="center" textRotation="0" wrapText="true" indent="0" shrinkToFit="false"/>
      <protection locked="true" hidden="false"/>
    </xf>
    <xf numFmtId="164" fontId="25" fillId="0" borderId="25" xfId="0" applyFont="true" applyBorder="true" applyAlignment="true" applyProtection="false">
      <alignment horizontal="right" vertical="center" textRotation="0" wrapText="true" indent="0" shrinkToFit="false"/>
      <protection locked="true" hidden="false"/>
    </xf>
    <xf numFmtId="164" fontId="9" fillId="0" borderId="29" xfId="0" applyFont="true" applyBorder="true" applyAlignment="true" applyProtection="false">
      <alignment horizontal="center" vertical="center" textRotation="0" wrapText="true" indent="0" shrinkToFit="false"/>
      <protection locked="true" hidden="false"/>
    </xf>
    <xf numFmtId="164" fontId="25" fillId="0" borderId="27" xfId="0" applyFont="true" applyBorder="tru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right" vertical="center" textRotation="0" wrapText="true" indent="0" shrinkToFit="false"/>
      <protection locked="true" hidden="false"/>
    </xf>
    <xf numFmtId="166" fontId="26" fillId="0" borderId="0" xfId="0" applyFont="true" applyBorder="false" applyAlignment="true" applyProtection="false">
      <alignment horizontal="right" vertical="center" textRotation="0" wrapText="false" indent="0" shrinkToFit="false"/>
      <protection locked="true" hidden="false"/>
    </xf>
    <xf numFmtId="164" fontId="41" fillId="0" borderId="0" xfId="0" applyFont="true" applyBorder="true" applyAlignment="true" applyProtection="false">
      <alignment horizontal="left" vertical="center" textRotation="0" wrapText="true" indent="0" shrinkToFit="false"/>
      <protection locked="true" hidden="false"/>
    </xf>
    <xf numFmtId="164" fontId="9" fillId="0" borderId="35"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38" fillId="0" borderId="0" xfId="0" applyFont="true" applyBorder="false" applyAlignment="true" applyProtection="false">
      <alignment horizontal="general" vertical="center" textRotation="0" wrapText="true" indent="0" shrinkToFit="false"/>
      <protection locked="true" hidden="false"/>
    </xf>
    <xf numFmtId="164" fontId="43"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9" fillId="3" borderId="0" xfId="0" applyFont="true" applyBorder="true" applyAlignment="true" applyProtection="false">
      <alignment horizontal="general" vertical="top" textRotation="0" wrapText="false" indent="0" shrinkToFit="false"/>
      <protection locked="true" hidden="false"/>
    </xf>
    <xf numFmtId="164" fontId="20" fillId="3" borderId="0" xfId="0" applyFont="true" applyBorder="true" applyAlignment="true" applyProtection="false">
      <alignment horizontal="general" vertical="top" textRotation="0" wrapText="false" indent="0" shrinkToFit="false"/>
      <protection locked="true" hidden="false"/>
    </xf>
    <xf numFmtId="164" fontId="21" fillId="3" borderId="0" xfId="0" applyFont="true" applyBorder="true" applyAlignment="true" applyProtection="false">
      <alignment horizontal="general" vertical="top" textRotation="0" wrapText="false" indent="0" shrinkToFit="false"/>
      <protection locked="true" hidden="false"/>
    </xf>
    <xf numFmtId="164" fontId="22" fillId="3" borderId="0" xfId="0" applyFont="true" applyBorder="true" applyAlignment="true" applyProtection="false">
      <alignment horizontal="general" vertical="top" textRotation="0" wrapText="false" indent="0" shrinkToFit="false"/>
      <protection locked="true" hidden="false"/>
    </xf>
    <xf numFmtId="164" fontId="4" fillId="0" borderId="16" xfId="0" applyFont="true" applyBorder="true" applyAlignment="true" applyProtection="false">
      <alignment horizontal="center" vertical="center" textRotation="0" wrapText="true" indent="0" shrinkToFit="false"/>
      <protection locked="true" hidden="false"/>
    </xf>
    <xf numFmtId="164" fontId="27" fillId="0" borderId="11" xfId="0" applyFont="true" applyBorder="true" applyAlignment="true" applyProtection="false">
      <alignment horizontal="left" vertical="center" textRotation="0" wrapText="true" indent="0" shrinkToFit="false"/>
      <protection locked="true" hidden="false"/>
    </xf>
    <xf numFmtId="164" fontId="44" fillId="3" borderId="0" xfId="0" applyFont="true" applyBorder="true" applyAlignment="true" applyProtection="false">
      <alignment horizontal="general" vertical="top" textRotation="0" wrapText="false" indent="0" shrinkToFit="false"/>
      <protection locked="true" hidden="false"/>
    </xf>
    <xf numFmtId="164" fontId="44" fillId="3" borderId="0" xfId="0" applyFont="true" applyBorder="true" applyAlignment="false" applyProtection="false">
      <alignment horizontal="general" vertical="bottom" textRotation="0" wrapText="false" indent="0" shrinkToFit="false"/>
      <protection locked="true" hidden="false"/>
    </xf>
    <xf numFmtId="164" fontId="25" fillId="0" borderId="15" xfId="0" applyFont="true" applyBorder="true" applyAlignment="true" applyProtection="false">
      <alignment horizontal="center" vertical="top" textRotation="0" wrapText="tru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6" fillId="0" borderId="15" xfId="0" applyFont="true" applyBorder="true" applyAlignment="true" applyProtection="false">
      <alignment horizontal="center" vertical="center" textRotation="0" wrapText="true" indent="0" shrinkToFit="false"/>
      <protection locked="true" hidden="false"/>
    </xf>
    <xf numFmtId="164" fontId="40" fillId="0" borderId="15" xfId="0" applyFont="true" applyBorder="true" applyAlignment="true" applyProtection="false">
      <alignment horizontal="left" vertical="center" textRotation="0" wrapText="true" indent="0" shrinkToFit="false"/>
      <protection locked="true" hidden="false"/>
    </xf>
    <xf numFmtId="164" fontId="46" fillId="0" borderId="15" xfId="0" applyFont="true" applyBorder="true" applyAlignment="true" applyProtection="false">
      <alignment horizontal="left" vertical="center" textRotation="0" wrapText="true" indent="0" shrinkToFit="false"/>
      <protection locked="true" hidden="false"/>
    </xf>
    <xf numFmtId="164" fontId="27" fillId="0" borderId="31" xfId="0" applyFont="true" applyBorder="true" applyAlignment="true" applyProtection="false">
      <alignment horizontal="left" vertical="center" textRotation="0" wrapText="true" indent="0" shrinkToFit="false"/>
      <protection locked="true" hidden="false"/>
    </xf>
    <xf numFmtId="164" fontId="27" fillId="0" borderId="15" xfId="0" applyFont="true" applyBorder="true" applyAlignment="true" applyProtection="false">
      <alignment horizontal="center" vertical="center" textRotation="0" wrapText="true" indent="0" shrinkToFit="false"/>
      <protection locked="true" hidden="false"/>
    </xf>
    <xf numFmtId="164" fontId="4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7" fillId="3" borderId="0"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true" applyAlignment="true" applyProtection="false">
      <alignment horizontal="left" vertical="bottom"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9"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left" vertical="center" textRotation="0" wrapText="false" indent="0" shrinkToFit="false"/>
      <protection locked="tru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4" fontId="59" fillId="0" borderId="0" xfId="0" applyFont="true" applyBorder="false" applyAlignment="true" applyProtection="false">
      <alignment horizontal="general" vertical="center" textRotation="0" wrapText="false" indent="0" shrinkToFit="false"/>
      <protection locked="true" hidden="false"/>
    </xf>
    <xf numFmtId="164" fontId="59" fillId="0" borderId="0" xfId="0" applyFont="true" applyBorder="false" applyAlignment="true" applyProtection="false">
      <alignment horizontal="right" vertical="center" textRotation="0" wrapText="false" indent="0" shrinkToFit="false"/>
      <protection locked="true" hidden="false"/>
    </xf>
    <xf numFmtId="164" fontId="56" fillId="0" borderId="0" xfId="0" applyFont="true" applyBorder="false" applyAlignment="true" applyProtection="false">
      <alignment horizontal="center"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1" fillId="0" borderId="0" xfId="0" applyFont="true" applyBorder="false" applyAlignment="fals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center" vertical="center" textRotation="0" wrapText="true" indent="0" shrinkToFit="false"/>
      <protection locked="true" hidden="false"/>
    </xf>
    <xf numFmtId="164" fontId="63" fillId="0"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false" indent="0" shrinkToFit="false"/>
      <protection locked="true" hidden="false"/>
    </xf>
    <xf numFmtId="164" fontId="64" fillId="8" borderId="36" xfId="0" applyFont="true" applyBorder="true" applyAlignment="false" applyProtection="false">
      <alignment horizontal="general" vertical="bottom" textRotation="0" wrapText="false" indent="0" shrinkToFit="false"/>
      <protection locked="true" hidden="false"/>
    </xf>
    <xf numFmtId="164" fontId="23" fillId="8" borderId="37" xfId="0" applyFont="true" applyBorder="true" applyAlignment="true" applyProtection="false">
      <alignment horizontal="center" vertical="center" textRotation="0" wrapText="true" indent="0" shrinkToFit="false"/>
      <protection locked="true" hidden="false"/>
    </xf>
    <xf numFmtId="164" fontId="23" fillId="8" borderId="38" xfId="0" applyFont="true" applyBorder="true" applyAlignment="true" applyProtection="false">
      <alignment horizontal="center" vertical="center" textRotation="0" wrapText="true" indent="0" shrinkToFit="false"/>
      <protection locked="true" hidden="false"/>
    </xf>
    <xf numFmtId="164" fontId="23" fillId="8" borderId="39"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65" fillId="0" borderId="0" xfId="0" applyFont="true" applyBorder="false" applyAlignment="true" applyProtection="false">
      <alignment horizontal="general" vertical="center" textRotation="0" wrapText="true" indent="0" shrinkToFit="false"/>
      <protection locked="true" hidden="false"/>
    </xf>
    <xf numFmtId="164" fontId="66" fillId="0" borderId="13" xfId="0" applyFont="true" applyBorder="true" applyAlignment="false" applyProtection="false">
      <alignment horizontal="general" vertical="bottom" textRotation="0" wrapText="false" indent="0" shrinkToFit="false"/>
      <protection locked="true" hidden="false"/>
    </xf>
    <xf numFmtId="164" fontId="67" fillId="0" borderId="27" xfId="0" applyFont="true" applyBorder="true" applyAlignment="false" applyProtection="false">
      <alignment horizontal="general" vertical="bottom" textRotation="0" wrapText="false" indent="0" shrinkToFit="false"/>
      <protection locked="true" hidden="false"/>
    </xf>
    <xf numFmtId="166" fontId="67" fillId="0" borderId="29" xfId="0" applyFont="true" applyBorder="true" applyAlignment="true" applyProtection="false">
      <alignment horizontal="center" vertical="bottom" textRotation="0" wrapText="false" indent="0" shrinkToFit="false"/>
      <protection locked="true" hidden="false"/>
    </xf>
    <xf numFmtId="164" fontId="67" fillId="0" borderId="29" xfId="0" applyFont="true" applyBorder="true" applyAlignment="true" applyProtection="false">
      <alignment horizontal="left" vertical="bottom" textRotation="0" wrapText="false" indent="0" shrinkToFit="false"/>
      <protection locked="true" hidden="false"/>
    </xf>
    <xf numFmtId="164" fontId="68" fillId="0" borderId="40" xfId="0" applyFont="true" applyBorder="true" applyAlignment="true" applyProtection="false">
      <alignment horizontal="left" vertical="center" textRotation="0" wrapText="true" indent="0" shrinkToFit="false"/>
      <protection locked="true" hidden="false"/>
    </xf>
    <xf numFmtId="164" fontId="66" fillId="0" borderId="16" xfId="0" applyFont="true" applyBorder="true" applyAlignment="false" applyProtection="false">
      <alignment horizontal="general" vertical="bottom" textRotation="0" wrapText="false" indent="0" shrinkToFit="false"/>
      <protection locked="true" hidden="false"/>
    </xf>
    <xf numFmtId="164" fontId="67" fillId="0" borderId="15" xfId="0" applyFont="true" applyBorder="true" applyAlignment="true" applyProtection="false">
      <alignment horizontal="left" vertical="bottom" textRotation="0" wrapText="false" indent="0" shrinkToFit="false"/>
      <protection locked="true" hidden="false"/>
    </xf>
    <xf numFmtId="164" fontId="68" fillId="0" borderId="11" xfId="0" applyFont="true" applyBorder="true" applyAlignment="true" applyProtection="false">
      <alignment horizontal="left" vertical="center" textRotation="0" wrapText="true" indent="0" shrinkToFit="false"/>
      <protection locked="true" hidden="false"/>
    </xf>
    <xf numFmtId="164" fontId="57" fillId="9" borderId="41" xfId="0" applyFont="true" applyBorder="true" applyAlignment="true" applyProtection="false">
      <alignment horizontal="right" vertical="center" textRotation="0" wrapText="false" indent="0" shrinkToFit="false"/>
      <protection locked="true" hidden="false"/>
    </xf>
    <xf numFmtId="164" fontId="69" fillId="9" borderId="42" xfId="0" applyFont="true" applyBorder="true" applyAlignment="true" applyProtection="false">
      <alignment horizontal="right" vertical="center" textRotation="0" wrapText="false" indent="0" shrinkToFit="false"/>
      <protection locked="true" hidden="false"/>
    </xf>
    <xf numFmtId="164" fontId="69" fillId="9" borderId="43" xfId="0" applyFont="true" applyBorder="true" applyAlignment="true" applyProtection="false">
      <alignment horizontal="center" vertical="center" textRotation="0" wrapText="false" indent="0" shrinkToFit="false"/>
      <protection locked="true" hidden="false"/>
    </xf>
    <xf numFmtId="167" fontId="70" fillId="2" borderId="43" xfId="0" applyFont="true" applyBorder="true" applyAlignment="true" applyProtection="false">
      <alignment horizontal="general" vertical="center" textRotation="0" wrapText="true" indent="0" shrinkToFit="false"/>
      <protection locked="true" hidden="false"/>
    </xf>
    <xf numFmtId="164" fontId="55" fillId="9" borderId="43" xfId="0" applyFont="true" applyBorder="true" applyAlignment="true" applyProtection="false">
      <alignment horizontal="left" vertical="center" textRotation="0" wrapText="false" indent="0" shrinkToFit="false"/>
      <protection locked="true" hidden="false"/>
    </xf>
    <xf numFmtId="164" fontId="4" fillId="2" borderId="44" xfId="0" applyFont="true" applyBorder="true" applyAlignment="false" applyProtection="false">
      <alignment horizontal="general" vertical="bottom" textRotation="0" wrapText="false" indent="0" shrinkToFit="false"/>
      <protection locked="true" hidden="false"/>
    </xf>
    <xf numFmtId="164" fontId="57" fillId="2" borderId="16" xfId="0" applyFont="true" applyBorder="true" applyAlignment="false" applyProtection="false">
      <alignment horizontal="general" vertical="bottom" textRotation="0" wrapText="false" indent="0" shrinkToFit="false"/>
      <protection locked="true" hidden="false"/>
    </xf>
    <xf numFmtId="164" fontId="4" fillId="2" borderId="31" xfId="0" applyFont="true" applyBorder="true" applyAlignment="false" applyProtection="false">
      <alignment horizontal="general" vertical="bottom" textRotation="0" wrapText="false" indent="0" shrinkToFit="false"/>
      <protection locked="true" hidden="false"/>
    </xf>
    <xf numFmtId="164" fontId="69" fillId="9" borderId="15" xfId="0" applyFont="true" applyBorder="true" applyAlignment="true" applyProtection="false">
      <alignment horizontal="center" vertical="center" textRotation="0" wrapText="false" indent="0" shrinkToFit="false"/>
      <protection locked="true" hidden="false"/>
    </xf>
    <xf numFmtId="167" fontId="70" fillId="2" borderId="15" xfId="0" applyFont="true" applyBorder="true" applyAlignment="true" applyProtection="false">
      <alignment horizontal="general" vertical="bottom" textRotation="0" wrapText="true" indent="0" shrinkToFit="false"/>
      <protection locked="true" hidden="false"/>
    </xf>
    <xf numFmtId="164" fontId="55" fillId="9" borderId="15" xfId="0" applyFont="true" applyBorder="true" applyAlignment="true" applyProtection="false">
      <alignment horizontal="left" vertical="center" textRotation="0" wrapText="false" indent="0" shrinkToFit="false"/>
      <protection locked="true" hidden="false"/>
    </xf>
    <xf numFmtId="164" fontId="4" fillId="2" borderId="11" xfId="0" applyFont="true" applyBorder="true" applyAlignment="false" applyProtection="false">
      <alignment horizontal="general" vertical="bottom" textRotation="0" wrapText="false" indent="0" shrinkToFit="false"/>
      <protection locked="true" hidden="false"/>
    </xf>
    <xf numFmtId="164" fontId="4" fillId="0" borderId="45" xfId="0" applyFont="true" applyBorder="true" applyAlignment="false" applyProtection="false">
      <alignment horizontal="general" vertical="bottom" textRotation="0" wrapText="false" indent="0" shrinkToFit="false"/>
      <protection locked="true" hidden="false"/>
    </xf>
    <xf numFmtId="164" fontId="4" fillId="0" borderId="46" xfId="0" applyFont="true" applyBorder="true" applyAlignment="false" applyProtection="false">
      <alignment horizontal="general" vertical="bottom" textRotation="0" wrapText="false" indent="0" shrinkToFit="false"/>
      <protection locked="true" hidden="false"/>
    </xf>
    <xf numFmtId="164" fontId="4" fillId="0" borderId="47" xfId="0" applyFont="true" applyBorder="true" applyAlignment="true" applyProtection="false">
      <alignment horizontal="center" vertical="center" textRotation="0" wrapText="true" indent="0" shrinkToFit="false"/>
      <protection locked="true" hidden="false"/>
    </xf>
    <xf numFmtId="168" fontId="71" fillId="0" borderId="47" xfId="0" applyFont="true" applyBorder="true" applyAlignment="true" applyProtection="false">
      <alignment horizontal="right" vertical="center" textRotation="0" wrapText="false" indent="0" shrinkToFit="false"/>
      <protection locked="true" hidden="false"/>
    </xf>
    <xf numFmtId="165" fontId="72" fillId="0" borderId="47" xfId="0" applyFont="true" applyBorder="true" applyAlignment="true" applyProtection="false">
      <alignment horizontal="left" vertical="center" textRotation="0" wrapText="true" indent="0" shrinkToFit="false"/>
      <protection locked="true" hidden="false"/>
    </xf>
    <xf numFmtId="164" fontId="55" fillId="0" borderId="48" xfId="0" applyFont="true" applyBorder="true" applyAlignment="true" applyProtection="false">
      <alignment horizontal="left" vertical="center" textRotation="0" wrapText="true" indent="0" shrinkToFit="false"/>
      <protection locked="true" hidden="false"/>
    </xf>
    <xf numFmtId="166" fontId="55"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92D050"/>
        </patternFill>
      </fill>
    </dxf>
    <dxf>
      <font>
        <color rgb="FFFFFFFF"/>
      </font>
      <fill>
        <patternFill>
          <bgColor rgb="FFC00000"/>
        </patternFill>
      </fill>
    </dxf>
    <dxf>
      <font>
        <color rgb="FFFFFFFF"/>
      </font>
      <fill>
        <patternFill>
          <bgColor rgb="FF00B050"/>
        </patternFill>
      </fill>
    </dxf>
    <dxf>
      <fill>
        <patternFill>
          <bgColor rgb="FF00B050"/>
        </patternFill>
      </fill>
    </dxf>
    <dxf>
      <font>
        <b val="1"/>
        <color rgb="FFFFFFFF"/>
      </font>
      <fill>
        <patternFill>
          <bgColor rgb="FFC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135"/>
      <rgbColor rgb="FF800080"/>
      <rgbColor rgb="FF0070C0"/>
      <rgbColor rgb="FFAEABAB"/>
      <rgbColor rgb="FF808080"/>
      <rgbColor rgb="FF9999FF"/>
      <rgbColor rgb="FF993366"/>
      <rgbColor rgb="FFECECEC"/>
      <rgbColor rgb="FFE7E6E6"/>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9"/>
      <rgbColor rgb="FFFFFF99"/>
      <rgbColor rgb="FF99CCFF"/>
      <rgbColor rgb="FFFF99CC"/>
      <rgbColor rgb="FFCC99FF"/>
      <rgbColor rgb="FFFFCC99"/>
      <rgbColor rgb="FF3366FF"/>
      <rgbColor rgb="FF33CCCC"/>
      <rgbColor rgb="FF92D050"/>
      <rgbColor rgb="FFFFCC00"/>
      <rgbColor rgb="FFFF9900"/>
      <rgbColor rgb="FFED7D31"/>
      <rgbColor rgb="FF666699"/>
      <rgbColor rgb="FFA5A5A5"/>
      <rgbColor rgb="FF002060"/>
      <rgbColor rgb="FF00B050"/>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133200</xdr:colOff>
      <xdr:row>1</xdr:row>
      <xdr:rowOff>142920</xdr:rowOff>
    </xdr:from>
    <xdr:to>
      <xdr:col>4</xdr:col>
      <xdr:colOff>503640</xdr:colOff>
      <xdr:row>5</xdr:row>
      <xdr:rowOff>75960</xdr:rowOff>
    </xdr:to>
    <xdr:pic>
      <xdr:nvPicPr>
        <xdr:cNvPr id="0" name="image1.png" descr=""/>
        <xdr:cNvPicPr/>
      </xdr:nvPicPr>
      <xdr:blipFill>
        <a:blip r:embed="rId1"/>
        <a:stretch/>
      </xdr:blipFill>
      <xdr:spPr>
        <a:xfrm>
          <a:off x="462240" y="324000"/>
          <a:ext cx="1733040" cy="657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361800</xdr:colOff>
      <xdr:row>19</xdr:row>
      <xdr:rowOff>228600</xdr:rowOff>
    </xdr:from>
    <xdr:to>
      <xdr:col>3</xdr:col>
      <xdr:colOff>329760</xdr:colOff>
      <xdr:row>21</xdr:row>
      <xdr:rowOff>114120</xdr:rowOff>
    </xdr:to>
    <xdr:pic>
      <xdr:nvPicPr>
        <xdr:cNvPr id="1" name="image3.jpg" descr=""/>
        <xdr:cNvPicPr/>
      </xdr:nvPicPr>
      <xdr:blipFill>
        <a:blip r:embed="rId1"/>
        <a:stretch/>
      </xdr:blipFill>
      <xdr:spPr>
        <a:xfrm>
          <a:off x="932760" y="6972480"/>
          <a:ext cx="523440" cy="5331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6" activeCellId="0" sqref="J26"/>
    </sheetView>
  </sheetViews>
  <sheetFormatPr defaultColWidth="14.4453125" defaultRowHeight="15" zeroHeight="false" outlineLevelRow="0" outlineLevelCol="0"/>
  <cols>
    <col collapsed="false" customWidth="true" hidden="false" outlineLevel="0" max="26" min="1" style="0" width="8.67"/>
  </cols>
  <sheetData>
    <row r="1" customFormat="false" ht="14.25" hidden="false" customHeight="true" outlineLevel="0" collapsed="false">
      <c r="A1" s="1" t="s">
        <v>0</v>
      </c>
      <c r="B1" s="1" t="s">
        <v>1</v>
      </c>
      <c r="C1" s="1" t="s">
        <v>2</v>
      </c>
      <c r="D1" s="1" t="s">
        <v>3</v>
      </c>
    </row>
    <row r="2" customFormat="false" ht="14.25" hidden="false" customHeight="true" outlineLevel="0" collapsed="false">
      <c r="A2" s="1" t="s">
        <v>4</v>
      </c>
      <c r="B2" s="2" t="n">
        <v>1</v>
      </c>
      <c r="C2" s="2" t="n">
        <v>1</v>
      </c>
      <c r="D2" s="3" t="s">
        <v>5</v>
      </c>
      <c r="E2" s="3" t="s">
        <v>6</v>
      </c>
    </row>
    <row r="3" customFormat="false" ht="14.25" hidden="false" customHeight="true" outlineLevel="0" collapsed="false">
      <c r="B3" s="2" t="n">
        <v>2</v>
      </c>
      <c r="C3" s="2" t="n">
        <v>2</v>
      </c>
      <c r="D3" s="3" t="s">
        <v>6</v>
      </c>
      <c r="E3" s="3" t="s">
        <v>7</v>
      </c>
    </row>
    <row r="4" customFormat="false" ht="14.25" hidden="false" customHeight="true" outlineLevel="0" collapsed="false">
      <c r="B4" s="2" t="n">
        <v>3</v>
      </c>
      <c r="C4" s="2" t="n">
        <v>3</v>
      </c>
      <c r="D4" s="3" t="s">
        <v>8</v>
      </c>
      <c r="E4" s="3" t="s">
        <v>9</v>
      </c>
    </row>
    <row r="5" customFormat="false" ht="14.25" hidden="false" customHeight="true" outlineLevel="0" collapsed="false">
      <c r="B5" s="2"/>
      <c r="C5" s="2" t="n">
        <v>4</v>
      </c>
      <c r="D5" s="3" t="s">
        <v>7</v>
      </c>
      <c r="E5" s="3" t="s">
        <v>10</v>
      </c>
    </row>
    <row r="6" customFormat="false" ht="14.25" hidden="false" customHeight="true" outlineLevel="0" collapsed="false">
      <c r="B6" s="2"/>
      <c r="C6" s="2" t="n">
        <v>5</v>
      </c>
      <c r="D6" s="3" t="s">
        <v>9</v>
      </c>
      <c r="E6" s="3" t="s">
        <v>11</v>
      </c>
    </row>
    <row r="7" customFormat="false" ht="14.25" hidden="false" customHeight="true" outlineLevel="0" collapsed="false">
      <c r="B7" s="2"/>
      <c r="C7" s="2" t="n">
        <v>6</v>
      </c>
      <c r="D7" s="3" t="s">
        <v>10</v>
      </c>
      <c r="E7" s="3" t="s">
        <v>12</v>
      </c>
    </row>
    <row r="8" customFormat="false" ht="14.25" hidden="false" customHeight="true" outlineLevel="0" collapsed="false">
      <c r="D8" s="3" t="s">
        <v>11</v>
      </c>
      <c r="E8" s="3" t="s">
        <v>13</v>
      </c>
    </row>
    <row r="9" customFormat="false" ht="14.25" hidden="false" customHeight="true" outlineLevel="0" collapsed="false">
      <c r="D9" s="3" t="s">
        <v>12</v>
      </c>
      <c r="E9" s="3" t="s">
        <v>14</v>
      </c>
    </row>
    <row r="10" customFormat="false" ht="14.25" hidden="false" customHeight="true" outlineLevel="0" collapsed="false">
      <c r="D10" s="3" t="s">
        <v>13</v>
      </c>
      <c r="E10" s="1" t="s">
        <v>15</v>
      </c>
    </row>
    <row r="11" customFormat="false" ht="14.25" hidden="false" customHeight="true" outlineLevel="0" collapsed="false">
      <c r="D11" s="3" t="s">
        <v>14</v>
      </c>
    </row>
    <row r="12" customFormat="false" ht="14.25" hidden="false" customHeight="true" outlineLevel="0" collapsed="false">
      <c r="D12" s="1" t="s">
        <v>15</v>
      </c>
    </row>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c r="C19" s="3" t="n">
        <v>1</v>
      </c>
      <c r="D19" s="3" t="s">
        <v>5</v>
      </c>
    </row>
    <row r="20" customFormat="false" ht="14.25" hidden="false" customHeight="true" outlineLevel="0" collapsed="false">
      <c r="C20" s="3" t="n">
        <v>2</v>
      </c>
      <c r="D20" s="3" t="s">
        <v>6</v>
      </c>
    </row>
    <row r="21" customFormat="false" ht="14.25" hidden="false" customHeight="true" outlineLevel="0" collapsed="false">
      <c r="C21" s="3" t="n">
        <v>3</v>
      </c>
      <c r="D21" s="3" t="s">
        <v>8</v>
      </c>
    </row>
    <row r="22" customFormat="false" ht="14.25" hidden="false" customHeight="true" outlineLevel="0" collapsed="false">
      <c r="C22" s="3" t="n">
        <v>4</v>
      </c>
      <c r="D22" s="3" t="s">
        <v>7</v>
      </c>
    </row>
    <row r="23" customFormat="false" ht="14.25" hidden="false" customHeight="true" outlineLevel="0" collapsed="false">
      <c r="C23" s="3" t="n">
        <v>5</v>
      </c>
      <c r="D23" s="3" t="s">
        <v>9</v>
      </c>
    </row>
    <row r="24" customFormat="false" ht="14.25" hidden="false" customHeight="true" outlineLevel="0" collapsed="false">
      <c r="C24" s="3" t="n">
        <v>6</v>
      </c>
      <c r="D24" s="3" t="s">
        <v>10</v>
      </c>
    </row>
    <row r="25" customFormat="false" ht="14.25" hidden="false" customHeight="true" outlineLevel="0" collapsed="false">
      <c r="C25" s="3" t="n">
        <v>7</v>
      </c>
      <c r="D25" s="3" t="s">
        <v>11</v>
      </c>
    </row>
    <row r="26" customFormat="false" ht="14.25" hidden="false" customHeight="true" outlineLevel="0" collapsed="false">
      <c r="C26" s="3" t="n">
        <v>8</v>
      </c>
      <c r="D26" s="3" t="s">
        <v>12</v>
      </c>
    </row>
    <row r="27" customFormat="false" ht="14.25" hidden="false" customHeight="true" outlineLevel="0" collapsed="false">
      <c r="C27" s="3" t="n">
        <v>9</v>
      </c>
      <c r="D27" s="3" t="s">
        <v>13</v>
      </c>
    </row>
    <row r="28" customFormat="false" ht="14.25" hidden="false" customHeight="true" outlineLevel="0" collapsed="false">
      <c r="C28" s="3" t="n">
        <v>10</v>
      </c>
      <c r="D28" s="3" t="s">
        <v>14</v>
      </c>
    </row>
    <row r="29" customFormat="false" ht="14.25" hidden="false" customHeight="true" outlineLevel="0" collapsed="false">
      <c r="C29" s="3" t="n">
        <v>11</v>
      </c>
      <c r="D29" s="1" t="s">
        <v>15</v>
      </c>
    </row>
    <row r="30" customFormat="false" ht="14.25" hidden="false" customHeight="true" outlineLevel="0" collapsed="false">
      <c r="C30" s="3"/>
    </row>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4.67"/>
    <col collapsed="false" customWidth="true" hidden="false" outlineLevel="0" max="3" min="2" style="0" width="5.33"/>
    <col collapsed="false" customWidth="true" hidden="false" outlineLevel="0" max="14" min="4" style="0" width="8.67"/>
    <col collapsed="false" customWidth="true" hidden="false" outlineLevel="0" max="15" min="15" style="0" width="9.56"/>
    <col collapsed="false" customWidth="true" hidden="false" outlineLevel="0" max="16" min="16" style="0" width="8.56"/>
    <col collapsed="false" customWidth="true" hidden="false" outlineLevel="0" max="17" min="17" style="0" width="7.88"/>
    <col collapsed="false" customWidth="true" hidden="false" outlineLevel="0" max="26" min="18" style="0" width="8.67"/>
  </cols>
  <sheetData>
    <row r="1" customFormat="false" ht="14.25" hidden="false" customHeight="true" outlineLevel="0" collapsed="false"/>
    <row r="2" customFormat="false" ht="14.25" hidden="false" customHeight="true" outlineLevel="0" collapsed="false">
      <c r="B2" s="4"/>
      <c r="C2" s="5"/>
      <c r="D2" s="5"/>
      <c r="E2" s="5"/>
      <c r="F2" s="5"/>
      <c r="G2" s="5"/>
      <c r="H2" s="5"/>
      <c r="I2" s="5"/>
      <c r="J2" s="5"/>
      <c r="K2" s="5"/>
      <c r="L2" s="5"/>
      <c r="M2" s="5"/>
      <c r="N2" s="5"/>
      <c r="O2" s="5"/>
      <c r="P2" s="5"/>
      <c r="Q2" s="5"/>
      <c r="R2" s="5"/>
      <c r="S2" s="5"/>
      <c r="T2" s="6"/>
    </row>
    <row r="3" customFormat="false" ht="14.25" hidden="false" customHeight="true" outlineLevel="0" collapsed="false">
      <c r="B3" s="7"/>
      <c r="C3" s="8"/>
      <c r="D3" s="8"/>
      <c r="E3" s="9"/>
      <c r="F3" s="10" t="s">
        <v>16</v>
      </c>
      <c r="G3" s="8"/>
      <c r="H3" s="8"/>
      <c r="I3" s="11"/>
      <c r="J3" s="11"/>
      <c r="K3" s="8"/>
      <c r="L3" s="8"/>
      <c r="M3" s="8"/>
      <c r="N3" s="8"/>
      <c r="O3" s="8"/>
      <c r="P3" s="8"/>
      <c r="Q3" s="8"/>
      <c r="R3" s="8"/>
      <c r="S3" s="8"/>
      <c r="T3" s="12"/>
    </row>
    <row r="4" customFormat="false" ht="14.25" hidden="false" customHeight="true" outlineLevel="0" collapsed="false">
      <c r="B4" s="13"/>
      <c r="C4" s="8"/>
      <c r="D4" s="8"/>
      <c r="E4" s="8"/>
      <c r="F4" s="14" t="s">
        <v>17</v>
      </c>
      <c r="G4" s="8"/>
      <c r="H4" s="8"/>
      <c r="I4" s="15"/>
      <c r="J4" s="15"/>
      <c r="K4" s="8"/>
      <c r="L4" s="8"/>
      <c r="M4" s="8"/>
      <c r="N4" s="8"/>
      <c r="O4" s="8"/>
      <c r="P4" s="8"/>
      <c r="Q4" s="8"/>
      <c r="R4" s="8"/>
      <c r="S4" s="8"/>
      <c r="T4" s="12"/>
    </row>
    <row r="5" customFormat="false" ht="14.25" hidden="false" customHeight="true" outlineLevel="0" collapsed="false">
      <c r="B5" s="13"/>
      <c r="C5" s="8"/>
      <c r="D5" s="8"/>
      <c r="E5" s="8"/>
      <c r="F5" s="8"/>
      <c r="G5" s="8"/>
      <c r="H5" s="8"/>
      <c r="I5" s="15"/>
      <c r="J5" s="15"/>
      <c r="K5" s="8"/>
      <c r="L5" s="8"/>
      <c r="M5" s="8"/>
      <c r="N5" s="8"/>
      <c r="O5" s="8"/>
      <c r="P5" s="8"/>
      <c r="Q5" s="8"/>
      <c r="R5" s="8"/>
      <c r="S5" s="8"/>
      <c r="T5" s="12"/>
    </row>
    <row r="6" customFormat="false" ht="14.25" hidden="false" customHeight="true" outlineLevel="0" collapsed="false">
      <c r="B6" s="13"/>
      <c r="C6" s="8"/>
      <c r="D6" s="8"/>
      <c r="E6" s="8"/>
      <c r="F6" s="8"/>
      <c r="G6" s="8"/>
      <c r="H6" s="8"/>
      <c r="I6" s="15"/>
      <c r="J6" s="15"/>
      <c r="K6" s="8"/>
      <c r="L6" s="8"/>
      <c r="M6" s="8"/>
      <c r="N6" s="8"/>
      <c r="O6" s="8"/>
      <c r="P6" s="8"/>
      <c r="Q6" s="8"/>
      <c r="R6" s="8"/>
      <c r="S6" s="8"/>
      <c r="T6" s="12"/>
    </row>
    <row r="7" customFormat="false" ht="14.25" hidden="false" customHeight="true" outlineLevel="0" collapsed="false">
      <c r="B7" s="13"/>
      <c r="C7" s="8"/>
      <c r="D7" s="8"/>
      <c r="E7" s="8"/>
      <c r="F7" s="8"/>
      <c r="G7" s="8"/>
      <c r="H7" s="8"/>
      <c r="I7" s="8"/>
      <c r="J7" s="8"/>
      <c r="K7" s="8"/>
      <c r="L7" s="8"/>
      <c r="M7" s="8"/>
      <c r="N7" s="8"/>
      <c r="O7" s="8"/>
      <c r="P7" s="8"/>
      <c r="Q7" s="8"/>
      <c r="R7" s="8"/>
      <c r="S7" s="8"/>
      <c r="T7" s="12"/>
    </row>
    <row r="8" customFormat="false" ht="15" hidden="false" customHeight="true" outlineLevel="0" collapsed="false">
      <c r="B8" s="13"/>
      <c r="C8" s="16" t="s">
        <v>18</v>
      </c>
      <c r="D8" s="16"/>
      <c r="E8" s="16"/>
      <c r="F8" s="16"/>
      <c r="G8" s="16"/>
      <c r="H8" s="16"/>
      <c r="I8" s="16"/>
      <c r="J8" s="16"/>
      <c r="K8" s="16"/>
      <c r="L8" s="16"/>
      <c r="M8" s="16"/>
      <c r="N8" s="16"/>
      <c r="O8" s="16"/>
      <c r="P8" s="16"/>
      <c r="Q8" s="16"/>
      <c r="R8" s="16"/>
      <c r="S8" s="16"/>
      <c r="T8" s="12"/>
    </row>
    <row r="9" customFormat="false" ht="15" hidden="false" customHeight="true" outlineLevel="0" collapsed="false">
      <c r="B9" s="13"/>
      <c r="C9" s="16"/>
      <c r="D9" s="16"/>
      <c r="E9" s="16"/>
      <c r="F9" s="16"/>
      <c r="G9" s="16"/>
      <c r="H9" s="16"/>
      <c r="I9" s="16"/>
      <c r="J9" s="16"/>
      <c r="K9" s="16"/>
      <c r="L9" s="16"/>
      <c r="M9" s="16"/>
      <c r="N9" s="16"/>
      <c r="O9" s="16"/>
      <c r="P9" s="16"/>
      <c r="Q9" s="16"/>
      <c r="R9" s="16"/>
      <c r="S9" s="16"/>
      <c r="T9" s="12"/>
    </row>
    <row r="10" customFormat="false" ht="15" hidden="false" customHeight="true" outlineLevel="0" collapsed="false">
      <c r="B10" s="13"/>
      <c r="C10" s="17"/>
      <c r="D10" s="17"/>
      <c r="E10" s="17"/>
      <c r="F10" s="17"/>
      <c r="G10" s="17"/>
      <c r="H10" s="17"/>
      <c r="I10" s="17"/>
      <c r="J10" s="17"/>
      <c r="K10" s="17"/>
      <c r="L10" s="17"/>
      <c r="M10" s="17"/>
      <c r="N10" s="17"/>
      <c r="O10" s="17"/>
      <c r="P10" s="17"/>
      <c r="Q10" s="17"/>
      <c r="R10" s="17"/>
      <c r="S10" s="17"/>
      <c r="T10" s="12"/>
    </row>
    <row r="11" customFormat="false" ht="14.25" hidden="false" customHeight="true" outlineLevel="0" collapsed="false">
      <c r="B11" s="13"/>
      <c r="C11" s="18" t="s">
        <v>19</v>
      </c>
      <c r="D11" s="17" t="s">
        <v>20</v>
      </c>
      <c r="E11" s="17"/>
      <c r="F11" s="17"/>
      <c r="G11" s="17"/>
      <c r="H11" s="17"/>
      <c r="I11" s="8"/>
      <c r="J11" s="8"/>
      <c r="K11" s="8"/>
      <c r="L11" s="8"/>
      <c r="M11" s="8"/>
      <c r="N11" s="8"/>
      <c r="O11" s="8"/>
      <c r="P11" s="8"/>
      <c r="Q11" s="8"/>
      <c r="R11" s="8"/>
      <c r="S11" s="8"/>
      <c r="T11" s="12"/>
    </row>
    <row r="12" customFormat="false" ht="4.5" hidden="false" customHeight="true" outlineLevel="0" collapsed="false">
      <c r="B12" s="13"/>
      <c r="C12" s="14"/>
      <c r="D12" s="17"/>
      <c r="E12" s="17"/>
      <c r="F12" s="17"/>
      <c r="G12" s="17"/>
      <c r="H12" s="17"/>
      <c r="I12" s="8"/>
      <c r="J12" s="8"/>
      <c r="K12" s="8"/>
      <c r="L12" s="8"/>
      <c r="M12" s="8"/>
      <c r="N12" s="8"/>
      <c r="O12" s="8"/>
      <c r="P12" s="8"/>
      <c r="Q12" s="8"/>
      <c r="R12" s="8"/>
      <c r="S12" s="8"/>
      <c r="T12" s="12"/>
    </row>
    <row r="13" customFormat="false" ht="14.25" hidden="false" customHeight="true" outlineLevel="0" collapsed="false">
      <c r="B13" s="13"/>
      <c r="C13" s="18" t="s">
        <v>21</v>
      </c>
      <c r="D13" s="17" t="s">
        <v>22</v>
      </c>
      <c r="E13" s="17"/>
      <c r="F13" s="17"/>
      <c r="G13" s="17"/>
      <c r="H13" s="17"/>
      <c r="I13" s="8"/>
      <c r="J13" s="8"/>
      <c r="K13" s="8"/>
      <c r="L13" s="8"/>
      <c r="M13" s="8"/>
      <c r="N13" s="8"/>
      <c r="O13" s="8"/>
      <c r="P13" s="8"/>
      <c r="Q13" s="8"/>
      <c r="R13" s="8"/>
      <c r="S13" s="8"/>
      <c r="T13" s="12"/>
    </row>
    <row r="14" customFormat="false" ht="14.25" hidden="false" customHeight="true" outlineLevel="0" collapsed="false">
      <c r="B14" s="13"/>
      <c r="C14" s="18"/>
      <c r="D14" s="17" t="s">
        <v>23</v>
      </c>
      <c r="E14" s="17"/>
      <c r="F14" s="17"/>
      <c r="G14" s="17"/>
      <c r="H14" s="17"/>
      <c r="I14" s="8"/>
      <c r="J14" s="8"/>
      <c r="K14" s="8"/>
      <c r="L14" s="8"/>
      <c r="M14" s="8"/>
      <c r="N14" s="8"/>
      <c r="O14" s="8"/>
      <c r="P14" s="8"/>
      <c r="Q14" s="8"/>
      <c r="R14" s="8"/>
      <c r="S14" s="8"/>
      <c r="T14" s="12"/>
    </row>
    <row r="15" customFormat="false" ht="4.5" hidden="false" customHeight="true" outlineLevel="0" collapsed="false">
      <c r="B15" s="13"/>
      <c r="C15" s="14"/>
      <c r="D15" s="17"/>
      <c r="E15" s="17"/>
      <c r="F15" s="17"/>
      <c r="G15" s="17"/>
      <c r="H15" s="17"/>
      <c r="I15" s="8"/>
      <c r="J15" s="8"/>
      <c r="K15" s="8"/>
      <c r="L15" s="8"/>
      <c r="M15" s="8"/>
      <c r="N15" s="8"/>
      <c r="O15" s="8"/>
      <c r="P15" s="8"/>
      <c r="Q15" s="8"/>
      <c r="R15" s="8"/>
      <c r="S15" s="8"/>
      <c r="T15" s="12"/>
    </row>
    <row r="16" customFormat="false" ht="14.25" hidden="false" customHeight="true" outlineLevel="0" collapsed="false">
      <c r="B16" s="13"/>
      <c r="C16" s="18" t="s">
        <v>24</v>
      </c>
      <c r="D16" s="17" t="s">
        <v>25</v>
      </c>
      <c r="E16" s="17"/>
      <c r="F16" s="17"/>
      <c r="G16" s="17"/>
      <c r="H16" s="17"/>
      <c r="I16" s="8"/>
      <c r="J16" s="8"/>
      <c r="K16" s="8"/>
      <c r="L16" s="8"/>
      <c r="M16" s="8"/>
      <c r="N16" s="8"/>
      <c r="O16" s="8"/>
      <c r="P16" s="8"/>
      <c r="Q16" s="8"/>
      <c r="R16" s="8"/>
      <c r="S16" s="8"/>
      <c r="T16" s="12"/>
    </row>
    <row r="17" customFormat="false" ht="14.25" hidden="false" customHeight="true" outlineLevel="0" collapsed="false">
      <c r="B17" s="13"/>
      <c r="C17" s="18"/>
      <c r="D17" s="19" t="s">
        <v>26</v>
      </c>
      <c r="E17" s="17"/>
      <c r="F17" s="17"/>
      <c r="G17" s="17"/>
      <c r="H17" s="17"/>
      <c r="I17" s="8"/>
      <c r="J17" s="8"/>
      <c r="K17" s="8"/>
      <c r="L17" s="8"/>
      <c r="M17" s="8"/>
      <c r="N17" s="8"/>
      <c r="O17" s="8"/>
      <c r="P17" s="8"/>
      <c r="Q17" s="8"/>
      <c r="R17" s="8"/>
      <c r="S17" s="8"/>
      <c r="T17" s="12"/>
    </row>
    <row r="18" customFormat="false" ht="4.5" hidden="false" customHeight="true" outlineLevel="0" collapsed="false">
      <c r="B18" s="13"/>
      <c r="C18" s="14"/>
      <c r="D18" s="17"/>
      <c r="E18" s="17"/>
      <c r="F18" s="17"/>
      <c r="G18" s="17"/>
      <c r="H18" s="17"/>
      <c r="I18" s="8"/>
      <c r="J18" s="8"/>
      <c r="K18" s="8"/>
      <c r="L18" s="8"/>
      <c r="M18" s="8"/>
      <c r="N18" s="8"/>
      <c r="O18" s="8"/>
      <c r="P18" s="8"/>
      <c r="Q18" s="8"/>
      <c r="R18" s="8"/>
      <c r="S18" s="8"/>
      <c r="T18" s="12"/>
    </row>
    <row r="19" customFormat="false" ht="14.25" hidden="false" customHeight="true" outlineLevel="0" collapsed="false">
      <c r="B19" s="13"/>
      <c r="C19" s="18" t="s">
        <v>27</v>
      </c>
      <c r="D19" s="17" t="s">
        <v>28</v>
      </c>
      <c r="E19" s="17"/>
      <c r="F19" s="17"/>
      <c r="G19" s="17"/>
      <c r="H19" s="17"/>
      <c r="I19" s="8"/>
      <c r="J19" s="8"/>
      <c r="K19" s="8"/>
      <c r="L19" s="8"/>
      <c r="M19" s="8"/>
      <c r="N19" s="8"/>
      <c r="O19" s="8"/>
      <c r="P19" s="8"/>
      <c r="Q19" s="8"/>
      <c r="R19" s="8"/>
      <c r="S19" s="8"/>
      <c r="T19" s="12"/>
    </row>
    <row r="20" customFormat="false" ht="14.25" hidden="false" customHeight="true" outlineLevel="0" collapsed="false">
      <c r="B20" s="13"/>
      <c r="C20" s="18"/>
      <c r="D20" s="17" t="s">
        <v>29</v>
      </c>
      <c r="E20" s="17"/>
      <c r="F20" s="17"/>
      <c r="G20" s="17"/>
      <c r="H20" s="17"/>
      <c r="I20" s="8"/>
      <c r="J20" s="8"/>
      <c r="K20" s="8"/>
      <c r="L20" s="8"/>
      <c r="M20" s="8"/>
      <c r="N20" s="8"/>
      <c r="O20" s="8"/>
      <c r="P20" s="8"/>
      <c r="Q20" s="8"/>
      <c r="R20" s="8"/>
      <c r="S20" s="8"/>
      <c r="T20" s="12"/>
    </row>
    <row r="21" customFormat="false" ht="14.25" hidden="false" customHeight="true" outlineLevel="0" collapsed="false">
      <c r="B21" s="13"/>
      <c r="C21" s="18"/>
      <c r="D21" s="17" t="s">
        <v>30</v>
      </c>
      <c r="E21" s="17"/>
      <c r="F21" s="17"/>
      <c r="G21" s="17"/>
      <c r="H21" s="17"/>
      <c r="I21" s="8"/>
      <c r="J21" s="8"/>
      <c r="K21" s="8"/>
      <c r="L21" s="8"/>
      <c r="M21" s="8"/>
      <c r="N21" s="8"/>
      <c r="O21" s="8"/>
      <c r="P21" s="8"/>
      <c r="Q21" s="8"/>
      <c r="R21" s="8"/>
      <c r="S21" s="8"/>
      <c r="T21" s="12"/>
    </row>
    <row r="22" customFormat="false" ht="4.5" hidden="false" customHeight="true" outlineLevel="0" collapsed="false">
      <c r="B22" s="13"/>
      <c r="C22" s="18"/>
      <c r="D22" s="17"/>
      <c r="E22" s="17"/>
      <c r="F22" s="17"/>
      <c r="G22" s="17"/>
      <c r="H22" s="17"/>
      <c r="I22" s="8"/>
      <c r="J22" s="8"/>
      <c r="K22" s="8"/>
      <c r="L22" s="8"/>
      <c r="M22" s="8"/>
      <c r="N22" s="8"/>
      <c r="O22" s="8"/>
      <c r="P22" s="8"/>
      <c r="Q22" s="8"/>
      <c r="R22" s="8"/>
      <c r="S22" s="8"/>
      <c r="T22" s="12"/>
    </row>
    <row r="23" customFormat="false" ht="14.25" hidden="false" customHeight="true" outlineLevel="0" collapsed="false">
      <c r="B23" s="13"/>
      <c r="C23" s="18" t="s">
        <v>31</v>
      </c>
      <c r="D23" s="17" t="s">
        <v>32</v>
      </c>
      <c r="E23" s="17"/>
      <c r="F23" s="17"/>
      <c r="G23" s="17"/>
      <c r="H23" s="17"/>
      <c r="I23" s="8"/>
      <c r="J23" s="8"/>
      <c r="K23" s="8"/>
      <c r="L23" s="8"/>
      <c r="M23" s="8"/>
      <c r="N23" s="8"/>
      <c r="O23" s="8"/>
      <c r="P23" s="8"/>
      <c r="Q23" s="8"/>
      <c r="R23" s="8"/>
      <c r="S23" s="8"/>
      <c r="T23" s="12"/>
    </row>
    <row r="24" customFormat="false" ht="4.5" hidden="false" customHeight="true" outlineLevel="0" collapsed="false">
      <c r="B24" s="13"/>
      <c r="C24" s="20"/>
      <c r="D24" s="8"/>
      <c r="E24" s="8"/>
      <c r="F24" s="8"/>
      <c r="G24" s="8"/>
      <c r="H24" s="8"/>
      <c r="I24" s="21"/>
      <c r="J24" s="21"/>
      <c r="K24" s="8"/>
      <c r="L24" s="8"/>
      <c r="M24" s="8"/>
      <c r="N24" s="8"/>
      <c r="O24" s="8"/>
      <c r="P24" s="8"/>
      <c r="Q24" s="8"/>
      <c r="R24" s="8"/>
      <c r="S24" s="8"/>
      <c r="T24" s="12"/>
    </row>
    <row r="25" customFormat="false" ht="14.25" hidden="false" customHeight="true" outlineLevel="0" collapsed="false">
      <c r="B25" s="13"/>
      <c r="C25" s="18" t="s">
        <v>33</v>
      </c>
      <c r="D25" s="17" t="s">
        <v>34</v>
      </c>
      <c r="E25" s="8"/>
      <c r="F25" s="8"/>
      <c r="G25" s="8"/>
      <c r="H25" s="8"/>
      <c r="I25" s="21"/>
      <c r="J25" s="21"/>
      <c r="K25" s="8"/>
      <c r="L25" s="8"/>
      <c r="M25" s="8"/>
      <c r="N25" s="8"/>
      <c r="O25" s="8"/>
      <c r="P25" s="8"/>
      <c r="Q25" s="8"/>
      <c r="R25" s="8"/>
      <c r="S25" s="8"/>
      <c r="T25" s="12"/>
    </row>
    <row r="26" customFormat="false" ht="14.25" hidden="false" customHeight="true" outlineLevel="0" collapsed="false">
      <c r="B26" s="13"/>
      <c r="C26" s="18"/>
      <c r="D26" s="19" t="s">
        <v>35</v>
      </c>
      <c r="E26" s="8"/>
      <c r="F26" s="8"/>
      <c r="G26" s="8"/>
      <c r="H26" s="8"/>
      <c r="I26" s="21"/>
      <c r="J26" s="21"/>
      <c r="K26" s="8"/>
      <c r="L26" s="8"/>
      <c r="M26" s="8"/>
      <c r="N26" s="8"/>
      <c r="O26" s="8"/>
      <c r="P26" s="8"/>
      <c r="Q26" s="8"/>
      <c r="R26" s="8"/>
      <c r="S26" s="8"/>
      <c r="T26" s="12"/>
    </row>
    <row r="27" customFormat="false" ht="14.25" hidden="false" customHeight="true" outlineLevel="0" collapsed="false">
      <c r="B27" s="13"/>
      <c r="C27" s="18"/>
      <c r="D27" s="19"/>
      <c r="E27" s="8"/>
      <c r="F27" s="8"/>
      <c r="G27" s="8"/>
      <c r="H27" s="8"/>
      <c r="I27" s="21"/>
      <c r="J27" s="21"/>
      <c r="K27" s="8"/>
      <c r="L27" s="8"/>
      <c r="M27" s="8"/>
      <c r="N27" s="8"/>
      <c r="O27" s="8"/>
      <c r="P27" s="8"/>
      <c r="Q27" s="8"/>
      <c r="R27" s="8"/>
      <c r="S27" s="8"/>
      <c r="T27" s="12"/>
    </row>
    <row r="28" customFormat="false" ht="14.25" hidden="false" customHeight="true" outlineLevel="0" collapsed="false">
      <c r="B28" s="13"/>
      <c r="C28" s="19" t="s">
        <v>36</v>
      </c>
      <c r="D28" s="19"/>
      <c r="E28" s="8"/>
      <c r="F28" s="8"/>
      <c r="G28" s="8"/>
      <c r="H28" s="8"/>
      <c r="I28" s="21"/>
      <c r="J28" s="21"/>
      <c r="K28" s="8"/>
      <c r="L28" s="8"/>
      <c r="M28" s="8"/>
      <c r="N28" s="8"/>
      <c r="O28" s="8"/>
      <c r="P28" s="8"/>
      <c r="Q28" s="8"/>
      <c r="R28" s="8"/>
      <c r="S28" s="8"/>
      <c r="T28" s="12"/>
    </row>
    <row r="29" customFormat="false" ht="14.25" hidden="false" customHeight="true" outlineLevel="0" collapsed="false">
      <c r="B29" s="13"/>
      <c r="C29" s="19"/>
      <c r="D29" s="19"/>
      <c r="E29" s="8"/>
      <c r="F29" s="8"/>
      <c r="G29" s="8"/>
      <c r="H29" s="8"/>
      <c r="I29" s="21"/>
      <c r="J29" s="21"/>
      <c r="K29" s="8"/>
      <c r="L29" s="8"/>
      <c r="M29" s="8"/>
      <c r="N29" s="8"/>
      <c r="O29" s="8"/>
      <c r="P29" s="8"/>
      <c r="Q29" s="8"/>
      <c r="R29" s="8"/>
      <c r="S29" s="8"/>
      <c r="T29" s="12"/>
    </row>
    <row r="30" customFormat="false" ht="14.25" hidden="false" customHeight="true" outlineLevel="0" collapsed="false">
      <c r="B30" s="22"/>
      <c r="C30" s="23"/>
      <c r="D30" s="24"/>
      <c r="E30" s="24"/>
      <c r="F30" s="24"/>
      <c r="G30" s="24"/>
      <c r="H30" s="24"/>
      <c r="I30" s="25"/>
      <c r="J30" s="25"/>
      <c r="K30" s="24"/>
      <c r="L30" s="24"/>
      <c r="M30" s="24"/>
      <c r="N30" s="24"/>
      <c r="O30" s="24"/>
      <c r="P30" s="24"/>
      <c r="Q30" s="24"/>
      <c r="R30" s="24"/>
      <c r="S30" s="24"/>
      <c r="T30" s="26"/>
    </row>
    <row r="31" customFormat="false" ht="14.25" hidden="false" customHeight="true" outlineLevel="0" collapsed="false">
      <c r="H31" s="1"/>
      <c r="I31" s="27"/>
      <c r="J31" s="27"/>
      <c r="K31" s="1"/>
    </row>
    <row r="32" customFormat="false" ht="14.25" hidden="false" customHeight="true" outlineLevel="0" collapsed="false">
      <c r="H32" s="1"/>
      <c r="I32" s="1"/>
      <c r="J32" s="1"/>
      <c r="K32" s="1"/>
    </row>
    <row r="33" customFormat="false" ht="14.25" hidden="false" customHeight="true" outlineLevel="0" collapsed="false">
      <c r="H33" s="1"/>
      <c r="I33" s="28"/>
      <c r="J33" s="28"/>
      <c r="K33" s="1"/>
    </row>
    <row r="34" customFormat="false" ht="14.25" hidden="false" customHeight="true" outlineLevel="0" collapsed="false">
      <c r="H34" s="1"/>
      <c r="I34" s="28"/>
      <c r="J34" s="28"/>
      <c r="K34" s="1"/>
    </row>
    <row r="35" customFormat="false" ht="14.25" hidden="false" customHeight="true" outlineLevel="0" collapsed="false">
      <c r="H35" s="1"/>
      <c r="I35" s="29"/>
      <c r="J35" s="29"/>
      <c r="K35" s="1"/>
    </row>
    <row r="36" customFormat="false" ht="14.25" hidden="false" customHeight="true" outlineLevel="0" collapsed="false">
      <c r="H36" s="1"/>
      <c r="I36" s="30"/>
      <c r="J36" s="1"/>
      <c r="K36" s="1"/>
    </row>
    <row r="37" customFormat="false" ht="14.25" hidden="false" customHeight="true" outlineLevel="0" collapsed="false">
      <c r="H37" s="1"/>
      <c r="I37" s="1"/>
      <c r="J37" s="1"/>
      <c r="K37" s="1"/>
    </row>
    <row r="38" customFormat="false" ht="14.25" hidden="false" customHeight="true" outlineLevel="0" collapsed="false">
      <c r="H38" s="1"/>
      <c r="I38" s="1"/>
      <c r="J38" s="1"/>
      <c r="K38" s="1"/>
    </row>
    <row r="39" customFormat="false" ht="14.25" hidden="false" customHeight="true" outlineLevel="0" collapsed="false">
      <c r="I39" s="1"/>
      <c r="J39" s="1"/>
    </row>
    <row r="40" customFormat="false" ht="14.25" hidden="false" customHeight="true" outlineLevel="0" collapsed="false">
      <c r="I40" s="1"/>
      <c r="J40" s="1"/>
    </row>
    <row r="41" customFormat="false" ht="14.25" hidden="false" customHeight="true" outlineLevel="0" collapsed="false">
      <c r="I41" s="1"/>
      <c r="J41" s="1"/>
    </row>
    <row r="42" customFormat="false" ht="14.25" hidden="false" customHeight="true" outlineLevel="0" collapsed="false">
      <c r="I42" s="1"/>
      <c r="J42" s="1"/>
    </row>
    <row r="43" customFormat="false" ht="14.25" hidden="false" customHeight="true" outlineLevel="0" collapsed="false">
      <c r="I43" s="1"/>
      <c r="J43" s="1"/>
    </row>
    <row r="44" customFormat="false" ht="14.25" hidden="false" customHeight="true" outlineLevel="0" collapsed="false">
      <c r="I44" s="1"/>
      <c r="J44" s="1"/>
    </row>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10">
    <mergeCell ref="I4:J4"/>
    <mergeCell ref="I5:J5"/>
    <mergeCell ref="I6:J6"/>
    <mergeCell ref="C8:S9"/>
    <mergeCell ref="I24:J24"/>
    <mergeCell ref="I30:J30"/>
    <mergeCell ref="I31:J31"/>
    <mergeCell ref="I33:J33"/>
    <mergeCell ref="I34:J34"/>
    <mergeCell ref="I35:J35"/>
  </mergeCells>
  <printOptions headings="false" gridLines="false" gridLinesSet="true" horizontalCentered="false" verticalCentered="false"/>
  <pageMargins left="0.7" right="0.7" top="0.75" bottom="0.75" header="0.511811023622047" footer="0.511811023622047"/>
  <pageSetup paperSize="9" scale="79"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1001"/>
  <sheetViews>
    <sheetView showFormulas="false" showGridLines="false" showRowColHeaders="true" showZeros="true" rightToLeft="false" tabSelected="true" showOutlineSymbols="true" defaultGridColor="true" view="normal" topLeftCell="A37" colorId="64" zoomScale="98" zoomScaleNormal="98" zoomScalePageLayoutView="100" workbookViewId="0">
      <selection pane="topLeft" activeCell="C46" activeCellId="0" sqref="C46"/>
    </sheetView>
  </sheetViews>
  <sheetFormatPr defaultColWidth="14.4453125" defaultRowHeight="15" zeroHeight="false" outlineLevelRow="0" outlineLevelCol="0"/>
  <cols>
    <col collapsed="false" customWidth="true" hidden="false" outlineLevel="0" max="1" min="1" style="0" width="2.88"/>
    <col collapsed="false" customWidth="true" hidden="false" outlineLevel="0" max="2" min="2" style="0" width="5.21"/>
    <col collapsed="false" customWidth="true" hidden="false" outlineLevel="0" max="3" min="3" style="0" width="7.88"/>
    <col collapsed="false" customWidth="true" hidden="false" outlineLevel="0" max="4" min="4" style="0" width="5.56"/>
    <col collapsed="false" customWidth="true" hidden="false" outlineLevel="0" max="5" min="5" style="0" width="12.33"/>
    <col collapsed="false" customWidth="true" hidden="false" outlineLevel="0" max="6" min="6" style="0" width="5.33"/>
    <col collapsed="false" customWidth="true" hidden="false" outlineLevel="0" max="7" min="7" style="0" width="7.44"/>
    <col collapsed="false" customWidth="true" hidden="false" outlineLevel="0" max="19" min="8" style="0" width="5.33"/>
    <col collapsed="false" customWidth="true" hidden="false" outlineLevel="0" max="22" min="20" style="0" width="7.88"/>
    <col collapsed="false" customWidth="true" hidden="false" outlineLevel="0" max="23" min="23" style="0" width="11.33"/>
    <col collapsed="false" customWidth="true" hidden="false" outlineLevel="0" max="26" min="24" style="0" width="7.88"/>
    <col collapsed="false" customWidth="true" hidden="false" outlineLevel="0" max="27" min="27" style="0" width="6.44"/>
    <col collapsed="false" customWidth="true" hidden="false" outlineLevel="0" max="28" min="28" style="0" width="4.67"/>
    <col collapsed="false" customWidth="true" hidden="true" outlineLevel="0" max="30" min="29" style="0" width="8.67"/>
    <col collapsed="false" customWidth="true" hidden="true" outlineLevel="0" max="31" min="31" style="0" width="5.44"/>
    <col collapsed="false" customWidth="true" hidden="true" outlineLevel="0" max="36" min="32" style="0" width="8.67"/>
    <col collapsed="false" customWidth="true" hidden="false" outlineLevel="0" max="39" min="37" style="0" width="8.67"/>
  </cols>
  <sheetData>
    <row r="1" customFormat="false" ht="14.25" hidden="false" customHeight="true" outlineLevel="0" collapsed="false">
      <c r="AA1" s="1"/>
      <c r="AC1" s="31"/>
      <c r="AD1" s="31"/>
      <c r="AE1" s="31"/>
      <c r="AF1" s="31"/>
      <c r="AG1" s="31"/>
      <c r="AH1" s="32"/>
      <c r="AI1" s="33"/>
      <c r="AJ1" s="34"/>
      <c r="AK1" s="31"/>
      <c r="AL1" s="31"/>
      <c r="AM1" s="31"/>
    </row>
    <row r="2" customFormat="false" ht="14.25" hidden="false" customHeight="true" outlineLevel="0" collapsed="false">
      <c r="A2" s="35"/>
      <c r="B2" s="36" t="s">
        <v>37</v>
      </c>
      <c r="C2" s="37"/>
      <c r="D2" s="37"/>
      <c r="E2" s="37"/>
      <c r="F2" s="37"/>
      <c r="G2" s="37"/>
      <c r="H2" s="37"/>
      <c r="I2" s="37"/>
      <c r="J2" s="37"/>
      <c r="K2" s="37"/>
      <c r="L2" s="37"/>
      <c r="AC2" s="31"/>
      <c r="AD2" s="31"/>
      <c r="AE2" s="31"/>
      <c r="AF2" s="31"/>
      <c r="AG2" s="31"/>
      <c r="AH2" s="32"/>
      <c r="AI2" s="33"/>
      <c r="AJ2" s="34"/>
      <c r="AK2" s="31"/>
      <c r="AL2" s="31"/>
      <c r="AM2" s="31"/>
    </row>
    <row r="3" customFormat="false" ht="14.25" hidden="false" customHeight="true" outlineLevel="0" collapsed="false">
      <c r="A3" s="35"/>
      <c r="B3" s="35"/>
      <c r="AC3" s="31"/>
      <c r="AD3" s="31"/>
      <c r="AE3" s="31"/>
      <c r="AF3" s="31"/>
      <c r="AG3" s="31"/>
      <c r="AH3" s="32"/>
      <c r="AI3" s="33" t="s">
        <v>4</v>
      </c>
      <c r="AJ3" s="34"/>
      <c r="AK3" s="31"/>
      <c r="AL3" s="31"/>
      <c r="AM3" s="31"/>
    </row>
    <row r="4" customFormat="false" ht="8.25" hidden="false" customHeight="true" outlineLevel="0" collapsed="false">
      <c r="B4" s="38"/>
      <c r="C4" s="39"/>
      <c r="D4" s="39"/>
      <c r="E4" s="39"/>
      <c r="F4" s="40"/>
      <c r="G4" s="40"/>
      <c r="H4" s="40"/>
      <c r="I4" s="40"/>
      <c r="J4" s="40"/>
      <c r="K4" s="40"/>
      <c r="L4" s="40"/>
      <c r="M4" s="40"/>
      <c r="N4" s="40"/>
      <c r="O4" s="40"/>
      <c r="P4" s="40"/>
      <c r="Q4" s="40"/>
      <c r="R4" s="40"/>
      <c r="S4" s="40"/>
      <c r="T4" s="40"/>
      <c r="U4" s="40"/>
      <c r="V4" s="40"/>
      <c r="W4" s="40"/>
      <c r="X4" s="40"/>
      <c r="Y4" s="40"/>
      <c r="Z4" s="40"/>
      <c r="AA4" s="40"/>
      <c r="AB4" s="40"/>
      <c r="AC4" s="31"/>
      <c r="AD4" s="31"/>
      <c r="AE4" s="31"/>
      <c r="AF4" s="31"/>
      <c r="AG4" s="31"/>
      <c r="AH4" s="32"/>
      <c r="AI4" s="33"/>
      <c r="AJ4" s="34"/>
      <c r="AK4" s="31"/>
      <c r="AL4" s="31"/>
      <c r="AM4" s="31"/>
    </row>
    <row r="5" customFormat="false" ht="29.25" hidden="false" customHeight="true" outlineLevel="0" collapsed="false">
      <c r="B5" s="41" t="n">
        <v>1</v>
      </c>
      <c r="C5" s="42" t="s">
        <v>38</v>
      </c>
      <c r="D5" s="42"/>
      <c r="E5" s="42"/>
      <c r="F5" s="43"/>
      <c r="G5" s="43"/>
      <c r="H5" s="43"/>
      <c r="I5" s="43"/>
      <c r="J5" s="43"/>
      <c r="K5" s="43"/>
      <c r="L5" s="43"/>
      <c r="M5" s="43"/>
      <c r="N5" s="43"/>
      <c r="O5" s="43"/>
      <c r="P5" s="43"/>
      <c r="Q5" s="43"/>
      <c r="R5" s="43"/>
      <c r="S5" s="43"/>
      <c r="T5" s="43"/>
      <c r="U5" s="43"/>
      <c r="V5" s="43"/>
      <c r="W5" s="43"/>
      <c r="X5" s="43"/>
      <c r="Y5" s="43"/>
      <c r="Z5" s="43"/>
      <c r="AA5" s="43"/>
      <c r="AB5" s="43"/>
      <c r="AC5" s="31"/>
      <c r="AD5" s="31"/>
      <c r="AE5" s="31"/>
      <c r="AF5" s="31"/>
      <c r="AG5" s="31"/>
      <c r="AH5" s="32"/>
      <c r="AI5" s="33" t="s">
        <v>1</v>
      </c>
      <c r="AJ5" s="34"/>
      <c r="AK5" s="31"/>
      <c r="AL5" s="31"/>
      <c r="AM5" s="31"/>
    </row>
    <row r="6" customFormat="false" ht="24" hidden="false" customHeight="true" outlineLevel="0" collapsed="false">
      <c r="B6" s="44"/>
      <c r="C6" s="42" t="s">
        <v>39</v>
      </c>
      <c r="D6" s="42"/>
      <c r="E6" s="42"/>
      <c r="F6" s="43"/>
      <c r="G6" s="43"/>
      <c r="H6" s="43"/>
      <c r="I6" s="43"/>
      <c r="J6" s="43"/>
      <c r="K6" s="43"/>
      <c r="L6" s="43"/>
      <c r="M6" s="43"/>
      <c r="N6" s="43"/>
      <c r="O6" s="43"/>
      <c r="P6" s="43"/>
      <c r="Q6" s="43"/>
      <c r="R6" s="43"/>
      <c r="S6" s="43"/>
      <c r="T6" s="43"/>
      <c r="U6" s="43"/>
      <c r="V6" s="43"/>
      <c r="W6" s="43"/>
      <c r="X6" s="43"/>
      <c r="Y6" s="43"/>
      <c r="Z6" s="43"/>
      <c r="AA6" s="43"/>
      <c r="AB6" s="43"/>
      <c r="AC6" s="31"/>
      <c r="AD6" s="31"/>
      <c r="AE6" s="31"/>
      <c r="AF6" s="31"/>
      <c r="AG6" s="31"/>
      <c r="AH6" s="32"/>
      <c r="AI6" s="33" t="n">
        <v>1</v>
      </c>
      <c r="AJ6" s="34"/>
      <c r="AK6" s="31"/>
      <c r="AL6" s="31"/>
      <c r="AM6" s="31"/>
    </row>
    <row r="7" customFormat="false" ht="30" hidden="false" customHeight="true" outlineLevel="0" collapsed="false">
      <c r="B7" s="45"/>
      <c r="C7" s="42" t="s">
        <v>40</v>
      </c>
      <c r="D7" s="42"/>
      <c r="E7" s="42"/>
      <c r="F7" s="46" t="s">
        <v>41</v>
      </c>
      <c r="G7" s="46"/>
      <c r="H7" s="46"/>
      <c r="I7" s="46"/>
      <c r="J7" s="46"/>
      <c r="K7" s="46"/>
      <c r="L7" s="46"/>
      <c r="M7" s="47" t="s">
        <v>42</v>
      </c>
      <c r="N7" s="47"/>
      <c r="O7" s="47"/>
      <c r="P7" s="47"/>
      <c r="Q7" s="47"/>
      <c r="R7" s="47"/>
      <c r="S7" s="47"/>
      <c r="T7" s="47"/>
      <c r="U7" s="47"/>
      <c r="V7" s="47"/>
      <c r="W7" s="47"/>
      <c r="X7" s="47"/>
      <c r="Y7" s="48" t="s">
        <v>43</v>
      </c>
      <c r="Z7" s="48"/>
      <c r="AA7" s="48"/>
      <c r="AB7" s="48"/>
      <c r="AC7" s="31"/>
      <c r="AD7" s="31"/>
      <c r="AE7" s="31"/>
      <c r="AF7" s="31"/>
      <c r="AG7" s="31"/>
      <c r="AH7" s="32"/>
      <c r="AI7" s="33" t="n">
        <v>2</v>
      </c>
      <c r="AJ7" s="34"/>
      <c r="AK7" s="31"/>
      <c r="AL7" s="31"/>
      <c r="AM7" s="31"/>
    </row>
    <row r="8" customFormat="false" ht="82.5" hidden="false" customHeight="true" outlineLevel="0" collapsed="false">
      <c r="B8" s="49" t="n">
        <v>2</v>
      </c>
      <c r="C8" s="50" t="s">
        <v>44</v>
      </c>
      <c r="D8" s="50"/>
      <c r="E8" s="50"/>
      <c r="F8" s="43"/>
      <c r="G8" s="43"/>
      <c r="H8" s="43"/>
      <c r="I8" s="43"/>
      <c r="J8" s="43"/>
      <c r="K8" s="43"/>
      <c r="L8" s="43"/>
      <c r="M8" s="43"/>
      <c r="N8" s="43"/>
      <c r="O8" s="43"/>
      <c r="P8" s="43"/>
      <c r="Q8" s="43"/>
      <c r="R8" s="43"/>
      <c r="S8" s="43"/>
      <c r="T8" s="43"/>
      <c r="U8" s="43"/>
      <c r="V8" s="43"/>
      <c r="W8" s="43"/>
      <c r="X8" s="43"/>
      <c r="Y8" s="43"/>
      <c r="Z8" s="43"/>
      <c r="AA8" s="43"/>
      <c r="AB8" s="43"/>
      <c r="AC8" s="31"/>
      <c r="AD8" s="31"/>
      <c r="AE8" s="31"/>
      <c r="AF8" s="31"/>
      <c r="AG8" s="31"/>
      <c r="AH8" s="32"/>
      <c r="AI8" s="33" t="n">
        <v>3</v>
      </c>
      <c r="AJ8" s="34"/>
      <c r="AK8" s="31"/>
      <c r="AL8" s="31"/>
      <c r="AM8" s="31"/>
    </row>
    <row r="9" customFormat="false" ht="24" hidden="false" customHeight="true" outlineLevel="0" collapsed="false">
      <c r="B9" s="51" t="n">
        <f aca="false">B8+1</f>
        <v>3</v>
      </c>
      <c r="C9" s="52" t="s">
        <v>45</v>
      </c>
      <c r="D9" s="52"/>
      <c r="E9" s="52"/>
      <c r="F9" s="53" t="n">
        <v>1</v>
      </c>
      <c r="G9" s="54"/>
      <c r="H9" s="54"/>
      <c r="I9" s="54"/>
      <c r="J9" s="54"/>
      <c r="K9" s="54"/>
      <c r="L9" s="54"/>
      <c r="M9" s="54"/>
      <c r="N9" s="54"/>
      <c r="O9" s="54"/>
      <c r="P9" s="54"/>
      <c r="Q9" s="54"/>
      <c r="R9" s="54"/>
      <c r="S9" s="54"/>
      <c r="T9" s="54"/>
      <c r="U9" s="54"/>
      <c r="V9" s="54"/>
      <c r="W9" s="54"/>
      <c r="X9" s="54"/>
      <c r="Y9" s="54"/>
      <c r="Z9" s="54"/>
      <c r="AA9" s="54"/>
      <c r="AB9" s="54"/>
      <c r="AC9" s="31"/>
      <c r="AD9" s="31"/>
      <c r="AE9" s="31"/>
      <c r="AF9" s="31"/>
      <c r="AG9" s="31"/>
      <c r="AH9" s="32"/>
      <c r="AI9" s="33"/>
      <c r="AJ9" s="34"/>
      <c r="AK9" s="31"/>
      <c r="AL9" s="31"/>
      <c r="AM9" s="31"/>
    </row>
    <row r="10" customFormat="false" ht="24.75" hidden="false" customHeight="true" outlineLevel="0" collapsed="false">
      <c r="B10" s="51"/>
      <c r="C10" s="52"/>
      <c r="D10" s="52"/>
      <c r="E10" s="52"/>
      <c r="F10" s="53" t="n">
        <v>2</v>
      </c>
      <c r="G10" s="54"/>
      <c r="H10" s="54"/>
      <c r="I10" s="54"/>
      <c r="J10" s="54"/>
      <c r="K10" s="54"/>
      <c r="L10" s="54"/>
      <c r="M10" s="54"/>
      <c r="N10" s="54"/>
      <c r="O10" s="54"/>
      <c r="P10" s="54"/>
      <c r="Q10" s="54"/>
      <c r="R10" s="54"/>
      <c r="S10" s="54"/>
      <c r="T10" s="54"/>
      <c r="U10" s="54"/>
      <c r="V10" s="54"/>
      <c r="W10" s="54"/>
      <c r="X10" s="54"/>
      <c r="Y10" s="54"/>
      <c r="Z10" s="54"/>
      <c r="AA10" s="54"/>
      <c r="AB10" s="54"/>
      <c r="AC10" s="31"/>
      <c r="AD10" s="31"/>
      <c r="AE10" s="31"/>
      <c r="AF10" s="31"/>
      <c r="AG10" s="31"/>
      <c r="AH10" s="32"/>
      <c r="AI10" s="33" t="s">
        <v>46</v>
      </c>
      <c r="AJ10" s="34"/>
      <c r="AK10" s="31"/>
      <c r="AL10" s="31"/>
      <c r="AM10" s="31"/>
    </row>
    <row r="11" customFormat="false" ht="24" hidden="false" customHeight="true" outlineLevel="0" collapsed="false">
      <c r="B11" s="51"/>
      <c r="C11" s="52"/>
      <c r="D11" s="52"/>
      <c r="E11" s="52"/>
      <c r="F11" s="53" t="n">
        <v>3</v>
      </c>
      <c r="G11" s="54"/>
      <c r="H11" s="54"/>
      <c r="I11" s="54"/>
      <c r="J11" s="54"/>
      <c r="K11" s="54"/>
      <c r="L11" s="54"/>
      <c r="M11" s="54"/>
      <c r="N11" s="54"/>
      <c r="O11" s="54"/>
      <c r="P11" s="54"/>
      <c r="Q11" s="54"/>
      <c r="R11" s="54"/>
      <c r="S11" s="54"/>
      <c r="T11" s="54"/>
      <c r="U11" s="54"/>
      <c r="V11" s="54"/>
      <c r="W11" s="54"/>
      <c r="X11" s="54"/>
      <c r="Y11" s="54"/>
      <c r="Z11" s="54"/>
      <c r="AA11" s="54"/>
      <c r="AB11" s="54"/>
      <c r="AC11" s="31"/>
      <c r="AD11" s="31"/>
      <c r="AE11" s="31"/>
      <c r="AF11" s="31"/>
      <c r="AG11" s="31"/>
      <c r="AH11" s="32"/>
      <c r="AI11" s="33" t="n">
        <v>1</v>
      </c>
      <c r="AJ11" s="34"/>
      <c r="AK11" s="31"/>
      <c r="AL11" s="31"/>
      <c r="AM11" s="31"/>
    </row>
    <row r="12" customFormat="false" ht="45" hidden="false" customHeight="true" outlineLevel="0" collapsed="false">
      <c r="B12" s="51" t="n">
        <f aca="false">B9+1</f>
        <v>4</v>
      </c>
      <c r="C12" s="52" t="s">
        <v>47</v>
      </c>
      <c r="D12" s="52"/>
      <c r="E12" s="52"/>
      <c r="F12" s="55" t="s">
        <v>48</v>
      </c>
      <c r="G12" s="55"/>
      <c r="H12" s="55"/>
      <c r="I12" s="56"/>
      <c r="J12" s="55" t="s">
        <v>49</v>
      </c>
      <c r="K12" s="55"/>
      <c r="L12" s="57"/>
      <c r="M12" s="58" t="s">
        <v>50</v>
      </c>
      <c r="N12" s="58"/>
      <c r="O12" s="58"/>
      <c r="P12" s="58"/>
      <c r="Q12" s="58"/>
      <c r="R12" s="58"/>
      <c r="S12" s="58"/>
      <c r="T12" s="58"/>
      <c r="U12" s="58"/>
      <c r="V12" s="58"/>
      <c r="W12" s="58"/>
      <c r="X12" s="58"/>
      <c r="Y12" s="58"/>
      <c r="Z12" s="58"/>
      <c r="AA12" s="58"/>
      <c r="AB12" s="58"/>
      <c r="AC12" s="31"/>
      <c r="AD12" s="31"/>
      <c r="AE12" s="31"/>
      <c r="AF12" s="31"/>
      <c r="AG12" s="31"/>
      <c r="AH12" s="32"/>
      <c r="AI12" s="33" t="n">
        <v>2</v>
      </c>
      <c r="AJ12" s="34"/>
      <c r="AK12" s="31"/>
      <c r="AL12" s="31"/>
      <c r="AM12" s="31"/>
    </row>
    <row r="13" customFormat="false" ht="33" hidden="false" customHeight="true" outlineLevel="0" collapsed="false">
      <c r="B13" s="51" t="n">
        <f aca="false">B12+1</f>
        <v>5</v>
      </c>
      <c r="C13" s="52" t="s">
        <v>51</v>
      </c>
      <c r="D13" s="52"/>
      <c r="E13" s="52"/>
      <c r="F13" s="59" t="n">
        <f aca="false">IF(X107 ="√",INT(X99/80),INT(X99/40))</f>
        <v>0</v>
      </c>
      <c r="G13" s="59"/>
      <c r="H13" s="59"/>
      <c r="I13" s="60"/>
      <c r="J13" s="61"/>
      <c r="K13" s="61"/>
      <c r="L13" s="61"/>
      <c r="M13" s="61"/>
      <c r="N13" s="61"/>
      <c r="O13" s="61"/>
      <c r="P13" s="61"/>
      <c r="Q13" s="61"/>
      <c r="R13" s="61"/>
      <c r="S13" s="61"/>
      <c r="T13" s="61"/>
      <c r="U13" s="61"/>
      <c r="V13" s="61"/>
      <c r="W13" s="61"/>
      <c r="X13" s="61"/>
      <c r="Y13" s="61"/>
      <c r="Z13" s="61"/>
      <c r="AA13" s="61"/>
      <c r="AB13" s="62"/>
      <c r="AC13" s="31"/>
      <c r="AD13" s="31"/>
      <c r="AE13" s="31"/>
      <c r="AF13" s="31"/>
      <c r="AG13" s="31"/>
      <c r="AH13" s="32"/>
      <c r="AI13" s="33" t="n">
        <v>3</v>
      </c>
      <c r="AJ13" s="34"/>
      <c r="AK13" s="31"/>
      <c r="AL13" s="31"/>
      <c r="AM13" s="31"/>
    </row>
    <row r="14" customFormat="false" ht="48" hidden="false" customHeight="true" outlineLevel="0" collapsed="false">
      <c r="B14" s="51" t="n">
        <f aca="false">B13+1</f>
        <v>6</v>
      </c>
      <c r="C14" s="52" t="s">
        <v>52</v>
      </c>
      <c r="D14" s="52"/>
      <c r="E14" s="52"/>
      <c r="F14" s="43"/>
      <c r="G14" s="43"/>
      <c r="H14" s="43"/>
      <c r="I14" s="43"/>
      <c r="J14" s="43"/>
      <c r="K14" s="43"/>
      <c r="L14" s="43"/>
      <c r="M14" s="43"/>
      <c r="N14" s="43"/>
      <c r="O14" s="43"/>
      <c r="P14" s="43"/>
      <c r="Q14" s="43"/>
      <c r="R14" s="43"/>
      <c r="S14" s="43"/>
      <c r="T14" s="43"/>
      <c r="U14" s="43"/>
      <c r="V14" s="43"/>
      <c r="W14" s="43"/>
      <c r="X14" s="43"/>
      <c r="Y14" s="43"/>
      <c r="Z14" s="43"/>
      <c r="AA14" s="43"/>
      <c r="AB14" s="43"/>
      <c r="AC14" s="31"/>
      <c r="AD14" s="31"/>
      <c r="AE14" s="31"/>
      <c r="AF14" s="31"/>
      <c r="AG14" s="31"/>
      <c r="AH14" s="32"/>
      <c r="AI14" s="33" t="n">
        <v>4</v>
      </c>
      <c r="AJ14" s="34"/>
      <c r="AK14" s="31"/>
      <c r="AL14" s="31"/>
      <c r="AM14" s="31"/>
    </row>
    <row r="15" customFormat="false" ht="9" hidden="false" customHeight="true" outlineLevel="0" collapsed="false">
      <c r="B15" s="63"/>
      <c r="C15" s="64"/>
      <c r="D15" s="64"/>
      <c r="E15" s="64"/>
      <c r="F15" s="65"/>
      <c r="G15" s="65"/>
      <c r="H15" s="65"/>
      <c r="I15" s="65"/>
      <c r="J15" s="65"/>
      <c r="K15" s="65"/>
      <c r="L15" s="65"/>
      <c r="M15" s="65"/>
      <c r="N15" s="65"/>
      <c r="O15" s="65"/>
      <c r="P15" s="65"/>
      <c r="Q15" s="65"/>
      <c r="R15" s="65"/>
      <c r="S15" s="65"/>
      <c r="T15" s="65"/>
      <c r="U15" s="65"/>
      <c r="V15" s="65"/>
      <c r="W15" s="65"/>
      <c r="X15" s="65"/>
      <c r="Y15" s="65"/>
      <c r="Z15" s="65"/>
      <c r="AA15" s="65"/>
      <c r="AB15" s="66"/>
      <c r="AC15" s="31"/>
      <c r="AD15" s="31"/>
      <c r="AE15" s="31"/>
      <c r="AF15" s="31"/>
      <c r="AG15" s="31"/>
      <c r="AH15" s="32"/>
      <c r="AI15" s="33" t="n">
        <v>5</v>
      </c>
      <c r="AJ15" s="34"/>
      <c r="AK15" s="31"/>
      <c r="AL15" s="31"/>
      <c r="AM15" s="31"/>
    </row>
    <row r="16" customFormat="false" ht="30" hidden="false" customHeight="true" outlineLevel="0" collapsed="false">
      <c r="B16" s="67" t="n">
        <v>7</v>
      </c>
      <c r="C16" s="52" t="s">
        <v>53</v>
      </c>
      <c r="D16" s="52"/>
      <c r="E16" s="52"/>
      <c r="F16" s="55" t="s">
        <v>54</v>
      </c>
      <c r="G16" s="55"/>
      <c r="H16" s="68"/>
      <c r="I16" s="68"/>
      <c r="J16" s="68"/>
      <c r="K16" s="68"/>
      <c r="L16" s="68"/>
      <c r="M16" s="68"/>
      <c r="N16" s="68"/>
      <c r="O16" s="68"/>
      <c r="P16" s="68"/>
      <c r="Q16" s="68"/>
      <c r="R16" s="68"/>
      <c r="S16" s="68"/>
      <c r="T16" s="68"/>
      <c r="U16" s="68"/>
      <c r="V16" s="68"/>
      <c r="W16" s="68"/>
      <c r="X16" s="68"/>
      <c r="Y16" s="68"/>
      <c r="Z16" s="68"/>
      <c r="AA16" s="68"/>
      <c r="AB16" s="69"/>
      <c r="AC16" s="31"/>
      <c r="AD16" s="31"/>
      <c r="AE16" s="31"/>
      <c r="AF16" s="31"/>
      <c r="AG16" s="31"/>
      <c r="AH16" s="32"/>
      <c r="AI16" s="33" t="n">
        <v>6</v>
      </c>
      <c r="AJ16" s="34"/>
      <c r="AK16" s="31"/>
      <c r="AL16" s="31"/>
      <c r="AM16" s="31"/>
    </row>
    <row r="17" customFormat="false" ht="25.5" hidden="false" customHeight="true" outlineLevel="0" collapsed="false">
      <c r="B17" s="70"/>
      <c r="C17" s="52"/>
      <c r="D17" s="52"/>
      <c r="E17" s="52"/>
      <c r="F17" s="55" t="s">
        <v>55</v>
      </c>
      <c r="G17" s="55"/>
      <c r="H17" s="68"/>
      <c r="I17" s="68"/>
      <c r="J17" s="68"/>
      <c r="K17" s="68"/>
      <c r="L17" s="68"/>
      <c r="M17" s="68"/>
      <c r="N17" s="68"/>
      <c r="O17" s="68"/>
      <c r="P17" s="68"/>
      <c r="Q17" s="68"/>
      <c r="R17" s="68"/>
      <c r="S17" s="68"/>
      <c r="T17" s="68"/>
      <c r="U17" s="68"/>
      <c r="V17" s="68"/>
      <c r="W17" s="68"/>
      <c r="X17" s="68"/>
      <c r="Y17" s="68"/>
      <c r="Z17" s="68"/>
      <c r="AA17" s="68"/>
      <c r="AB17" s="69"/>
      <c r="AC17" s="31"/>
      <c r="AD17" s="31"/>
      <c r="AE17" s="31"/>
      <c r="AF17" s="31"/>
      <c r="AG17" s="31"/>
      <c r="AH17" s="32"/>
      <c r="AI17" s="33" t="n">
        <v>7</v>
      </c>
      <c r="AJ17" s="34"/>
      <c r="AK17" s="31"/>
      <c r="AL17" s="31"/>
      <c r="AM17" s="31"/>
    </row>
    <row r="18" customFormat="false" ht="25.5" hidden="false" customHeight="true" outlineLevel="0" collapsed="false">
      <c r="B18" s="70"/>
      <c r="C18" s="52"/>
      <c r="D18" s="52"/>
      <c r="E18" s="52"/>
      <c r="F18" s="55" t="s">
        <v>56</v>
      </c>
      <c r="G18" s="55"/>
      <c r="H18" s="68"/>
      <c r="I18" s="68"/>
      <c r="J18" s="68"/>
      <c r="K18" s="68"/>
      <c r="L18" s="68"/>
      <c r="M18" s="68"/>
      <c r="N18" s="68"/>
      <c r="O18" s="68"/>
      <c r="P18" s="68"/>
      <c r="Q18" s="68"/>
      <c r="R18" s="68"/>
      <c r="S18" s="68"/>
      <c r="T18" s="68"/>
      <c r="U18" s="68"/>
      <c r="V18" s="68"/>
      <c r="W18" s="68"/>
      <c r="X18" s="68"/>
      <c r="Y18" s="68"/>
      <c r="Z18" s="68"/>
      <c r="AA18" s="68"/>
      <c r="AB18" s="69"/>
      <c r="AC18" s="31"/>
      <c r="AD18" s="31"/>
      <c r="AE18" s="31"/>
      <c r="AF18" s="31"/>
      <c r="AG18" s="31"/>
      <c r="AH18" s="32"/>
      <c r="AI18" s="33" t="n">
        <v>8</v>
      </c>
      <c r="AJ18" s="34"/>
      <c r="AK18" s="31"/>
      <c r="AL18" s="31"/>
      <c r="AM18" s="31"/>
    </row>
    <row r="19" customFormat="false" ht="25.5" hidden="false" customHeight="true" outlineLevel="0" collapsed="false">
      <c r="B19" s="70"/>
      <c r="C19" s="52"/>
      <c r="D19" s="52"/>
      <c r="E19" s="52"/>
      <c r="F19" s="55"/>
      <c r="G19" s="55"/>
      <c r="H19" s="68"/>
      <c r="I19" s="68"/>
      <c r="J19" s="68"/>
      <c r="K19" s="68"/>
      <c r="L19" s="68"/>
      <c r="M19" s="68"/>
      <c r="N19" s="68"/>
      <c r="O19" s="68"/>
      <c r="P19" s="68"/>
      <c r="Q19" s="68"/>
      <c r="R19" s="68"/>
      <c r="S19" s="68"/>
      <c r="T19" s="68"/>
      <c r="U19" s="68"/>
      <c r="V19" s="68"/>
      <c r="W19" s="68"/>
      <c r="X19" s="68"/>
      <c r="Y19" s="68"/>
      <c r="Z19" s="68"/>
      <c r="AA19" s="68"/>
      <c r="AB19" s="69"/>
      <c r="AC19" s="31"/>
      <c r="AD19" s="31"/>
      <c r="AE19" s="31"/>
      <c r="AF19" s="31"/>
      <c r="AG19" s="31"/>
      <c r="AH19" s="32"/>
      <c r="AI19" s="71" t="s">
        <v>57</v>
      </c>
      <c r="AJ19" s="34"/>
      <c r="AK19" s="31"/>
      <c r="AL19" s="31"/>
      <c r="AM19" s="31"/>
    </row>
    <row r="20" customFormat="false" ht="25.5" hidden="false" customHeight="true" outlineLevel="0" collapsed="false">
      <c r="B20" s="70"/>
      <c r="C20" s="52"/>
      <c r="D20" s="52"/>
      <c r="E20" s="52"/>
      <c r="F20" s="55"/>
      <c r="G20" s="55"/>
      <c r="H20" s="68"/>
      <c r="I20" s="68"/>
      <c r="J20" s="68"/>
      <c r="K20" s="68"/>
      <c r="L20" s="68"/>
      <c r="M20" s="68"/>
      <c r="N20" s="68"/>
      <c r="O20" s="68"/>
      <c r="P20" s="68"/>
      <c r="Q20" s="68"/>
      <c r="R20" s="68"/>
      <c r="S20" s="68"/>
      <c r="T20" s="68"/>
      <c r="U20" s="68"/>
      <c r="V20" s="68"/>
      <c r="W20" s="68"/>
      <c r="X20" s="68"/>
      <c r="Y20" s="68"/>
      <c r="Z20" s="68"/>
      <c r="AA20" s="68"/>
      <c r="AB20" s="69"/>
      <c r="AC20" s="31"/>
      <c r="AD20" s="31"/>
      <c r="AE20" s="31"/>
      <c r="AF20" s="31"/>
      <c r="AG20" s="31"/>
      <c r="AH20" s="32"/>
      <c r="AI20" s="71" t="s">
        <v>58</v>
      </c>
      <c r="AJ20" s="34"/>
      <c r="AK20" s="31"/>
      <c r="AL20" s="31"/>
      <c r="AM20" s="31"/>
    </row>
    <row r="21" customFormat="false" ht="25.5" hidden="false" customHeight="true" outlineLevel="0" collapsed="false">
      <c r="B21" s="70"/>
      <c r="C21" s="52"/>
      <c r="D21" s="52"/>
      <c r="E21" s="52"/>
      <c r="F21" s="72"/>
      <c r="G21" s="72"/>
      <c r="H21" s="73"/>
      <c r="I21" s="73"/>
      <c r="J21" s="73"/>
      <c r="K21" s="73"/>
      <c r="L21" s="73"/>
      <c r="M21" s="73"/>
      <c r="N21" s="73"/>
      <c r="O21" s="73"/>
      <c r="P21" s="73"/>
      <c r="Q21" s="73"/>
      <c r="R21" s="73"/>
      <c r="S21" s="73"/>
      <c r="T21" s="73"/>
      <c r="U21" s="73"/>
      <c r="V21" s="73"/>
      <c r="W21" s="73"/>
      <c r="X21" s="73"/>
      <c r="Y21" s="73"/>
      <c r="Z21" s="73"/>
      <c r="AA21" s="73"/>
      <c r="AB21" s="69"/>
      <c r="AC21" s="31"/>
      <c r="AD21" s="31"/>
      <c r="AE21" s="31"/>
      <c r="AF21" s="31"/>
      <c r="AG21" s="31"/>
      <c r="AH21" s="32"/>
      <c r="AI21" s="74" t="s">
        <v>59</v>
      </c>
      <c r="AJ21" s="34"/>
      <c r="AK21" s="31"/>
      <c r="AL21" s="31"/>
      <c r="AM21" s="31"/>
    </row>
    <row r="22" customFormat="false" ht="25.5" hidden="false" customHeight="true" outlineLevel="0" collapsed="false">
      <c r="B22" s="70"/>
      <c r="C22" s="52"/>
      <c r="D22" s="52"/>
      <c r="E22" s="52"/>
      <c r="F22" s="72"/>
      <c r="G22" s="72"/>
      <c r="H22" s="73"/>
      <c r="I22" s="73"/>
      <c r="J22" s="73"/>
      <c r="K22" s="73"/>
      <c r="L22" s="73"/>
      <c r="M22" s="73"/>
      <c r="N22" s="73"/>
      <c r="O22" s="73"/>
      <c r="P22" s="73"/>
      <c r="Q22" s="73"/>
      <c r="R22" s="73"/>
      <c r="S22" s="73"/>
      <c r="T22" s="73"/>
      <c r="U22" s="73"/>
      <c r="V22" s="73"/>
      <c r="W22" s="73"/>
      <c r="X22" s="73"/>
      <c r="Y22" s="73"/>
      <c r="Z22" s="73"/>
      <c r="AA22" s="73"/>
      <c r="AB22" s="69"/>
      <c r="AC22" s="31"/>
      <c r="AD22" s="31"/>
      <c r="AE22" s="31"/>
      <c r="AF22" s="31"/>
      <c r="AG22" s="31"/>
      <c r="AH22" s="32"/>
      <c r="AI22" s="74" t="s">
        <v>60</v>
      </c>
      <c r="AJ22" s="34"/>
      <c r="AK22" s="31"/>
      <c r="AL22" s="31"/>
      <c r="AM22" s="31"/>
    </row>
    <row r="23" customFormat="false" ht="25.5" hidden="false" customHeight="true" outlineLevel="0" collapsed="false">
      <c r="B23" s="70"/>
      <c r="C23" s="52"/>
      <c r="D23" s="52"/>
      <c r="E23" s="52"/>
      <c r="F23" s="72"/>
      <c r="G23" s="72"/>
      <c r="H23" s="73"/>
      <c r="I23" s="73"/>
      <c r="J23" s="73"/>
      <c r="K23" s="73"/>
      <c r="L23" s="73"/>
      <c r="M23" s="73"/>
      <c r="N23" s="73"/>
      <c r="O23" s="73"/>
      <c r="P23" s="73"/>
      <c r="Q23" s="73"/>
      <c r="R23" s="73"/>
      <c r="S23" s="73"/>
      <c r="T23" s="73"/>
      <c r="U23" s="73"/>
      <c r="V23" s="73"/>
      <c r="W23" s="73"/>
      <c r="X23" s="73"/>
      <c r="Y23" s="73"/>
      <c r="Z23" s="73"/>
      <c r="AA23" s="73"/>
      <c r="AB23" s="69"/>
      <c r="AC23" s="31"/>
      <c r="AD23" s="31"/>
      <c r="AE23" s="31"/>
      <c r="AF23" s="31"/>
      <c r="AG23" s="31"/>
      <c r="AH23" s="32"/>
      <c r="AI23" s="33" t="s">
        <v>61</v>
      </c>
      <c r="AJ23" s="34"/>
      <c r="AK23" s="31"/>
      <c r="AL23" s="31"/>
      <c r="AM23" s="31"/>
    </row>
    <row r="24" customFormat="false" ht="7.5" hidden="false" customHeight="true" outlineLevel="0" collapsed="false">
      <c r="B24" s="75"/>
      <c r="C24" s="76"/>
      <c r="D24" s="76"/>
      <c r="E24" s="76"/>
      <c r="F24" s="77"/>
      <c r="G24" s="77"/>
      <c r="H24" s="77"/>
      <c r="I24" s="77"/>
      <c r="J24" s="77"/>
      <c r="K24" s="77"/>
      <c r="L24" s="77"/>
      <c r="M24" s="77"/>
      <c r="N24" s="77"/>
      <c r="O24" s="77"/>
      <c r="P24" s="77"/>
      <c r="Q24" s="77"/>
      <c r="R24" s="77"/>
      <c r="S24" s="77"/>
      <c r="T24" s="77"/>
      <c r="U24" s="77"/>
      <c r="V24" s="77"/>
      <c r="W24" s="77"/>
      <c r="X24" s="77"/>
      <c r="Y24" s="77"/>
      <c r="Z24" s="77"/>
      <c r="AA24" s="77"/>
      <c r="AB24" s="78"/>
      <c r="AC24" s="31"/>
      <c r="AD24" s="31"/>
      <c r="AE24" s="31"/>
      <c r="AF24" s="31"/>
      <c r="AG24" s="31"/>
      <c r="AH24" s="32"/>
      <c r="AI24" s="33"/>
      <c r="AJ24" s="34"/>
      <c r="AK24" s="31"/>
      <c r="AL24" s="31"/>
      <c r="AM24" s="31"/>
    </row>
    <row r="25" customFormat="false" ht="24" hidden="false" customHeight="true" outlineLevel="0" collapsed="false">
      <c r="B25" s="79" t="n">
        <v>8</v>
      </c>
      <c r="C25" s="80" t="s">
        <v>62</v>
      </c>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31"/>
      <c r="AD25" s="31"/>
      <c r="AE25" s="31"/>
      <c r="AF25" s="31"/>
      <c r="AG25" s="31"/>
      <c r="AH25" s="32"/>
      <c r="AI25" s="33"/>
      <c r="AJ25" s="34"/>
      <c r="AK25" s="31"/>
      <c r="AL25" s="31"/>
      <c r="AM25" s="31"/>
    </row>
    <row r="26" customFormat="false" ht="18" hidden="false" customHeight="true" outlineLevel="0" collapsed="false">
      <c r="B26" s="81"/>
      <c r="C26" s="82"/>
      <c r="D26" s="82"/>
      <c r="E26" s="82"/>
      <c r="F26" s="83"/>
      <c r="G26" s="83"/>
      <c r="H26" s="83"/>
      <c r="I26" s="83"/>
      <c r="J26" s="83"/>
      <c r="K26" s="83"/>
      <c r="L26" s="83"/>
      <c r="M26" s="83"/>
      <c r="N26" s="83"/>
      <c r="O26" s="83"/>
      <c r="P26" s="83"/>
      <c r="Q26" s="84"/>
      <c r="R26" s="84"/>
      <c r="S26" s="1"/>
      <c r="T26" s="1"/>
      <c r="U26" s="1"/>
      <c r="V26" s="1"/>
      <c r="W26" s="1"/>
      <c r="X26" s="1"/>
      <c r="Y26" s="1"/>
      <c r="Z26" s="1"/>
      <c r="AA26" s="1"/>
      <c r="AB26" s="85"/>
      <c r="AC26" s="31"/>
      <c r="AD26" s="31"/>
      <c r="AE26" s="31"/>
      <c r="AF26" s="31"/>
      <c r="AG26" s="31"/>
      <c r="AH26" s="32"/>
      <c r="AI26" s="33"/>
      <c r="AJ26" s="34"/>
      <c r="AK26" s="31"/>
      <c r="AL26" s="31"/>
      <c r="AM26" s="31"/>
    </row>
    <row r="27" customFormat="false" ht="28.5" hidden="false" customHeight="true" outlineLevel="0" collapsed="false">
      <c r="B27" s="81"/>
      <c r="C27" s="82"/>
      <c r="D27" s="86" t="s">
        <v>63</v>
      </c>
      <c r="E27" s="86"/>
      <c r="F27" s="87" t="s">
        <v>64</v>
      </c>
      <c r="G27" s="87"/>
      <c r="H27" s="87"/>
      <c r="I27" s="87"/>
      <c r="J27" s="87"/>
      <c r="K27" s="87"/>
      <c r="L27" s="87"/>
      <c r="M27" s="87"/>
      <c r="N27" s="87"/>
      <c r="O27" s="87"/>
      <c r="P27" s="87"/>
      <c r="Q27" s="87"/>
      <c r="R27" s="86" t="s">
        <v>65</v>
      </c>
      <c r="S27" s="86"/>
      <c r="T27" s="86"/>
      <c r="U27" s="86"/>
      <c r="V27" s="86"/>
      <c r="W27" s="86" t="s">
        <v>66</v>
      </c>
      <c r="X27" s="86"/>
      <c r="Y27" s="86"/>
      <c r="Z27" s="86"/>
      <c r="AA27" s="1"/>
      <c r="AB27" s="85"/>
      <c r="AC27" s="31"/>
      <c r="AD27" s="31"/>
      <c r="AE27" s="31"/>
      <c r="AF27" s="31"/>
      <c r="AG27" s="31"/>
      <c r="AH27" s="32"/>
      <c r="AI27" s="88"/>
      <c r="AJ27" s="34"/>
      <c r="AK27" s="31"/>
      <c r="AL27" s="31"/>
      <c r="AM27" s="31"/>
    </row>
    <row r="28" customFormat="false" ht="72.75" hidden="false" customHeight="true" outlineLevel="0" collapsed="false">
      <c r="B28" s="81"/>
      <c r="C28" s="82"/>
      <c r="D28" s="86"/>
      <c r="E28" s="86"/>
      <c r="F28" s="89" t="s">
        <v>67</v>
      </c>
      <c r="G28" s="89" t="s">
        <v>68</v>
      </c>
      <c r="H28" s="89" t="s">
        <v>69</v>
      </c>
      <c r="I28" s="89" t="s">
        <v>70</v>
      </c>
      <c r="J28" s="89" t="s">
        <v>71</v>
      </c>
      <c r="K28" s="89" t="s">
        <v>72</v>
      </c>
      <c r="L28" s="90" t="s">
        <v>73</v>
      </c>
      <c r="M28" s="89" t="s">
        <v>74</v>
      </c>
      <c r="N28" s="89" t="s">
        <v>75</v>
      </c>
      <c r="O28" s="89" t="s">
        <v>76</v>
      </c>
      <c r="P28" s="89" t="s">
        <v>77</v>
      </c>
      <c r="Q28" s="91"/>
      <c r="R28" s="86"/>
      <c r="S28" s="86"/>
      <c r="T28" s="86"/>
      <c r="U28" s="86"/>
      <c r="V28" s="86"/>
      <c r="W28" s="86"/>
      <c r="X28" s="86"/>
      <c r="Y28" s="86"/>
      <c r="Z28" s="86"/>
      <c r="AA28" s="1"/>
      <c r="AB28" s="85"/>
      <c r="AC28" s="31"/>
      <c r="AD28" s="31"/>
      <c r="AE28" s="31"/>
      <c r="AF28" s="31"/>
      <c r="AG28" s="31"/>
      <c r="AH28" s="32"/>
      <c r="AI28" s="88"/>
      <c r="AJ28" s="34"/>
      <c r="AK28" s="31"/>
      <c r="AL28" s="31"/>
      <c r="AM28" s="31"/>
    </row>
    <row r="29" customFormat="false" ht="24" hidden="false" customHeight="true" outlineLevel="0" collapsed="false">
      <c r="B29" s="81"/>
      <c r="C29" s="82"/>
      <c r="D29" s="55" t="str">
        <f aca="false">IF(ISBLANK(F16),"",F16)</f>
        <v>CLO1/ HPK1</v>
      </c>
      <c r="E29" s="55"/>
      <c r="F29" s="56"/>
      <c r="G29" s="56"/>
      <c r="H29" s="56"/>
      <c r="I29" s="56"/>
      <c r="J29" s="56"/>
      <c r="K29" s="56"/>
      <c r="L29" s="56"/>
      <c r="M29" s="56"/>
      <c r="N29" s="56"/>
      <c r="O29" s="56"/>
      <c r="P29" s="56"/>
      <c r="Q29" s="56"/>
      <c r="R29" s="57"/>
      <c r="S29" s="57"/>
      <c r="T29" s="57"/>
      <c r="U29" s="57"/>
      <c r="V29" s="57"/>
      <c r="W29" s="92"/>
      <c r="X29" s="92"/>
      <c r="Y29" s="92"/>
      <c r="Z29" s="92"/>
      <c r="AA29" s="1"/>
      <c r="AB29" s="85"/>
      <c r="AC29" s="31"/>
      <c r="AD29" s="31"/>
      <c r="AE29" s="31"/>
      <c r="AF29" s="31"/>
      <c r="AG29" s="31"/>
      <c r="AH29" s="32"/>
      <c r="AI29" s="34" t="s">
        <v>78</v>
      </c>
      <c r="AJ29" s="34"/>
      <c r="AK29" s="31" t="s">
        <v>79</v>
      </c>
      <c r="AL29" s="31"/>
      <c r="AM29" s="31"/>
    </row>
    <row r="30" customFormat="false" ht="24" hidden="false" customHeight="true" outlineLevel="0" collapsed="false">
      <c r="B30" s="81"/>
      <c r="C30" s="82"/>
      <c r="D30" s="55" t="str">
        <f aca="false">IF(ISBLANK(F17),"",F17)</f>
        <v>CLO2 / HPK2</v>
      </c>
      <c r="E30" s="55"/>
      <c r="F30" s="56"/>
      <c r="G30" s="56"/>
      <c r="H30" s="56"/>
      <c r="I30" s="56"/>
      <c r="J30" s="56"/>
      <c r="K30" s="56"/>
      <c r="L30" s="56"/>
      <c r="M30" s="56"/>
      <c r="N30" s="56"/>
      <c r="O30" s="56"/>
      <c r="P30" s="56"/>
      <c r="Q30" s="56"/>
      <c r="R30" s="57"/>
      <c r="S30" s="57"/>
      <c r="T30" s="57"/>
      <c r="U30" s="57"/>
      <c r="V30" s="57"/>
      <c r="W30" s="92"/>
      <c r="X30" s="92"/>
      <c r="Y30" s="92"/>
      <c r="Z30" s="92"/>
      <c r="AA30" s="1"/>
      <c r="AB30" s="85"/>
      <c r="AC30" s="31"/>
      <c r="AD30" s="31"/>
      <c r="AE30" s="31"/>
      <c r="AF30" s="31"/>
      <c r="AG30" s="31"/>
      <c r="AH30" s="32"/>
      <c r="AI30" s="34" t="s">
        <v>80</v>
      </c>
      <c r="AJ30" s="34"/>
      <c r="AK30" s="31" t="s">
        <v>81</v>
      </c>
      <c r="AL30" s="31"/>
      <c r="AM30" s="31"/>
    </row>
    <row r="31" customFormat="false" ht="24" hidden="false" customHeight="true" outlineLevel="0" collapsed="false">
      <c r="B31" s="81"/>
      <c r="C31" s="82"/>
      <c r="D31" s="55" t="str">
        <f aca="false">IF(ISBLANK(F18),"",F18)</f>
        <v>CLO3/ HPK3</v>
      </c>
      <c r="E31" s="55"/>
      <c r="F31" s="56"/>
      <c r="G31" s="56"/>
      <c r="H31" s="56"/>
      <c r="I31" s="56"/>
      <c r="J31" s="56"/>
      <c r="K31" s="56"/>
      <c r="L31" s="56"/>
      <c r="M31" s="56"/>
      <c r="N31" s="56"/>
      <c r="O31" s="56"/>
      <c r="P31" s="56"/>
      <c r="Q31" s="56"/>
      <c r="R31" s="57"/>
      <c r="S31" s="57"/>
      <c r="T31" s="57"/>
      <c r="U31" s="57"/>
      <c r="V31" s="57"/>
      <c r="W31" s="92"/>
      <c r="X31" s="92"/>
      <c r="Y31" s="92"/>
      <c r="Z31" s="92"/>
      <c r="AA31" s="1"/>
      <c r="AB31" s="85"/>
      <c r="AC31" s="31"/>
      <c r="AD31" s="31"/>
      <c r="AE31" s="31"/>
      <c r="AF31" s="31"/>
      <c r="AG31" s="31"/>
      <c r="AH31" s="32"/>
      <c r="AI31" s="34" t="s">
        <v>82</v>
      </c>
      <c r="AJ31" s="34"/>
      <c r="AK31" s="31" t="s">
        <v>83</v>
      </c>
      <c r="AL31" s="31"/>
      <c r="AM31" s="31"/>
    </row>
    <row r="32" customFormat="false" ht="24" hidden="false" customHeight="true" outlineLevel="0" collapsed="false">
      <c r="B32" s="81"/>
      <c r="C32" s="82"/>
      <c r="D32" s="55" t="str">
        <f aca="false">IF(ISBLANK(F19),"",F19)</f>
        <v/>
      </c>
      <c r="E32" s="55"/>
      <c r="F32" s="56"/>
      <c r="G32" s="56"/>
      <c r="H32" s="56"/>
      <c r="I32" s="56"/>
      <c r="J32" s="56"/>
      <c r="K32" s="56"/>
      <c r="L32" s="56"/>
      <c r="M32" s="56"/>
      <c r="N32" s="56"/>
      <c r="O32" s="56"/>
      <c r="P32" s="56"/>
      <c r="Q32" s="56"/>
      <c r="R32" s="57"/>
      <c r="S32" s="57"/>
      <c r="T32" s="57"/>
      <c r="U32" s="57"/>
      <c r="V32" s="57"/>
      <c r="W32" s="92"/>
      <c r="X32" s="92"/>
      <c r="Y32" s="92"/>
      <c r="Z32" s="92"/>
      <c r="AA32" s="1"/>
      <c r="AB32" s="85"/>
      <c r="AC32" s="31"/>
      <c r="AD32" s="31"/>
      <c r="AE32" s="31"/>
      <c r="AF32" s="31"/>
      <c r="AG32" s="31"/>
      <c r="AH32" s="32"/>
      <c r="AI32" s="34" t="s">
        <v>84</v>
      </c>
      <c r="AJ32" s="34"/>
      <c r="AK32" s="31" t="s">
        <v>85</v>
      </c>
      <c r="AL32" s="31"/>
      <c r="AM32" s="31"/>
    </row>
    <row r="33" customFormat="false" ht="24" hidden="false" customHeight="true" outlineLevel="0" collapsed="false">
      <c r="B33" s="81"/>
      <c r="C33" s="82"/>
      <c r="D33" s="55" t="str">
        <f aca="false">IF(ISBLANK(F20),"",F20)</f>
        <v/>
      </c>
      <c r="E33" s="55"/>
      <c r="F33" s="56"/>
      <c r="G33" s="56"/>
      <c r="H33" s="56"/>
      <c r="I33" s="56"/>
      <c r="J33" s="56"/>
      <c r="K33" s="56"/>
      <c r="L33" s="56"/>
      <c r="M33" s="56"/>
      <c r="N33" s="56"/>
      <c r="O33" s="56"/>
      <c r="P33" s="56"/>
      <c r="Q33" s="56"/>
      <c r="R33" s="57"/>
      <c r="S33" s="57"/>
      <c r="T33" s="57"/>
      <c r="U33" s="57"/>
      <c r="V33" s="57"/>
      <c r="W33" s="92"/>
      <c r="X33" s="92"/>
      <c r="Y33" s="92"/>
      <c r="Z33" s="92"/>
      <c r="AA33" s="1"/>
      <c r="AB33" s="85"/>
      <c r="AC33" s="31"/>
      <c r="AD33" s="31"/>
      <c r="AE33" s="31"/>
      <c r="AF33" s="31"/>
      <c r="AG33" s="31"/>
      <c r="AH33" s="32"/>
      <c r="AI33" s="34" t="s">
        <v>86</v>
      </c>
      <c r="AJ33" s="34"/>
      <c r="AK33" s="31" t="s">
        <v>87</v>
      </c>
      <c r="AL33" s="31"/>
      <c r="AM33" s="31"/>
    </row>
    <row r="34" customFormat="false" ht="24" hidden="false" customHeight="true" outlineLevel="0" collapsed="false">
      <c r="B34" s="81"/>
      <c r="C34" s="82"/>
      <c r="D34" s="72" t="str">
        <f aca="false">IF(ISBLANK(F21),"",F21)</f>
        <v/>
      </c>
      <c r="E34" s="72"/>
      <c r="F34" s="72"/>
      <c r="G34" s="72"/>
      <c r="H34" s="72"/>
      <c r="I34" s="72"/>
      <c r="J34" s="72"/>
      <c r="K34" s="72"/>
      <c r="L34" s="72"/>
      <c r="M34" s="72"/>
      <c r="N34" s="72"/>
      <c r="O34" s="72"/>
      <c r="P34" s="72"/>
      <c r="Q34" s="72"/>
      <c r="R34" s="73"/>
      <c r="S34" s="73"/>
      <c r="T34" s="73"/>
      <c r="U34" s="73"/>
      <c r="V34" s="73"/>
      <c r="W34" s="93"/>
      <c r="X34" s="93"/>
      <c r="Y34" s="93"/>
      <c r="Z34" s="93"/>
      <c r="AA34" s="1"/>
      <c r="AB34" s="85"/>
      <c r="AC34" s="31"/>
      <c r="AD34" s="31"/>
      <c r="AE34" s="31"/>
      <c r="AF34" s="31"/>
      <c r="AG34" s="31"/>
      <c r="AH34" s="32"/>
      <c r="AI34" s="34" t="s">
        <v>88</v>
      </c>
      <c r="AJ34" s="34"/>
      <c r="AK34" s="31" t="s">
        <v>89</v>
      </c>
      <c r="AL34" s="31"/>
      <c r="AM34" s="31"/>
    </row>
    <row r="35" customFormat="false" ht="24" hidden="false" customHeight="true" outlineLevel="0" collapsed="false">
      <c r="B35" s="81"/>
      <c r="C35" s="82"/>
      <c r="D35" s="72" t="str">
        <f aca="false">IF(ISBLANK(F22),"",F22)</f>
        <v/>
      </c>
      <c r="E35" s="72"/>
      <c r="F35" s="72"/>
      <c r="G35" s="72"/>
      <c r="H35" s="72"/>
      <c r="I35" s="72"/>
      <c r="J35" s="72"/>
      <c r="K35" s="72"/>
      <c r="L35" s="72"/>
      <c r="M35" s="72"/>
      <c r="N35" s="72"/>
      <c r="O35" s="72"/>
      <c r="P35" s="72"/>
      <c r="Q35" s="72"/>
      <c r="R35" s="73"/>
      <c r="S35" s="73"/>
      <c r="T35" s="73"/>
      <c r="U35" s="73"/>
      <c r="V35" s="73"/>
      <c r="W35" s="93"/>
      <c r="X35" s="93"/>
      <c r="Y35" s="93"/>
      <c r="Z35" s="93"/>
      <c r="AA35" s="1"/>
      <c r="AB35" s="85"/>
      <c r="AC35" s="31"/>
      <c r="AD35" s="31"/>
      <c r="AE35" s="31"/>
      <c r="AF35" s="31"/>
      <c r="AG35" s="31"/>
      <c r="AH35" s="32"/>
      <c r="AI35" s="94" t="s">
        <v>90</v>
      </c>
      <c r="AJ35" s="34"/>
      <c r="AK35" s="31" t="s">
        <v>91</v>
      </c>
      <c r="AL35" s="31"/>
      <c r="AM35" s="31"/>
    </row>
    <row r="36" customFormat="false" ht="24" hidden="false" customHeight="true" outlineLevel="0" collapsed="false">
      <c r="B36" s="81"/>
      <c r="C36" s="82"/>
      <c r="D36" s="72" t="str">
        <f aca="false">IF(ISBLANK(F23),"",F23)</f>
        <v/>
      </c>
      <c r="E36" s="72"/>
      <c r="F36" s="72"/>
      <c r="G36" s="72"/>
      <c r="H36" s="72"/>
      <c r="I36" s="72"/>
      <c r="J36" s="72"/>
      <c r="K36" s="72"/>
      <c r="L36" s="72"/>
      <c r="M36" s="72"/>
      <c r="N36" s="72"/>
      <c r="O36" s="72"/>
      <c r="P36" s="72"/>
      <c r="Q36" s="72"/>
      <c r="R36" s="73"/>
      <c r="S36" s="73"/>
      <c r="T36" s="73"/>
      <c r="U36" s="73"/>
      <c r="V36" s="73"/>
      <c r="W36" s="93"/>
      <c r="X36" s="93"/>
      <c r="Y36" s="93"/>
      <c r="Z36" s="93"/>
      <c r="AA36" s="1"/>
      <c r="AB36" s="85"/>
      <c r="AC36" s="31"/>
      <c r="AD36" s="31"/>
      <c r="AE36" s="31"/>
      <c r="AF36" s="31"/>
      <c r="AG36" s="31"/>
      <c r="AH36" s="32"/>
      <c r="AI36" s="95" t="s">
        <v>92</v>
      </c>
      <c r="AJ36" s="96"/>
      <c r="AK36" s="31" t="s">
        <v>93</v>
      </c>
      <c r="AL36" s="31"/>
      <c r="AM36" s="31"/>
    </row>
    <row r="37" customFormat="false" ht="24" hidden="false" customHeight="true" outlineLevel="0" collapsed="false">
      <c r="B37" s="81"/>
      <c r="C37" s="82"/>
      <c r="D37" s="86" t="s">
        <v>94</v>
      </c>
      <c r="E37" s="86"/>
      <c r="F37" s="56"/>
      <c r="G37" s="56"/>
      <c r="H37" s="56"/>
      <c r="I37" s="56"/>
      <c r="J37" s="56"/>
      <c r="K37" s="56"/>
      <c r="L37" s="56"/>
      <c r="M37" s="56"/>
      <c r="N37" s="56"/>
      <c r="O37" s="56"/>
      <c r="P37" s="56"/>
      <c r="Q37" s="56"/>
      <c r="R37" s="97"/>
      <c r="S37" s="97"/>
      <c r="T37" s="97"/>
      <c r="U37" s="97"/>
      <c r="V37" s="97"/>
      <c r="W37" s="8"/>
      <c r="X37" s="8"/>
      <c r="Y37" s="8"/>
      <c r="Z37" s="98"/>
      <c r="AA37" s="1"/>
      <c r="AB37" s="85"/>
      <c r="AC37" s="31"/>
      <c r="AD37" s="31"/>
      <c r="AE37" s="31"/>
      <c r="AF37" s="31"/>
      <c r="AG37" s="31"/>
      <c r="AH37" s="32"/>
      <c r="AI37" s="99" t="s">
        <v>95</v>
      </c>
      <c r="AJ37" s="96"/>
      <c r="AK37" s="31" t="s">
        <v>96</v>
      </c>
      <c r="AL37" s="32"/>
      <c r="AM37" s="32"/>
    </row>
    <row r="38" customFormat="false" ht="24" hidden="false" customHeight="true" outlineLevel="0" collapsed="false">
      <c r="B38" s="81"/>
      <c r="C38" s="82"/>
      <c r="D38" s="86"/>
      <c r="E38" s="86"/>
      <c r="F38" s="56"/>
      <c r="G38" s="56"/>
      <c r="H38" s="56"/>
      <c r="I38" s="56"/>
      <c r="J38" s="56"/>
      <c r="K38" s="56"/>
      <c r="L38" s="56"/>
      <c r="M38" s="56"/>
      <c r="N38" s="56"/>
      <c r="O38" s="56"/>
      <c r="P38" s="56"/>
      <c r="Q38" s="56"/>
      <c r="R38" s="97"/>
      <c r="S38" s="97"/>
      <c r="T38" s="97"/>
      <c r="U38" s="97"/>
      <c r="V38" s="97"/>
      <c r="W38" s="8"/>
      <c r="X38" s="8"/>
      <c r="Y38" s="8"/>
      <c r="Z38" s="98"/>
      <c r="AA38" s="1"/>
      <c r="AB38" s="85"/>
      <c r="AC38" s="31"/>
      <c r="AD38" s="31"/>
      <c r="AE38" s="31"/>
      <c r="AF38" s="31"/>
      <c r="AG38" s="31"/>
      <c r="AH38" s="32"/>
      <c r="AI38" s="99" t="s">
        <v>97</v>
      </c>
      <c r="AJ38" s="96"/>
      <c r="AK38" s="31" t="s">
        <v>98</v>
      </c>
      <c r="AL38" s="32"/>
      <c r="AM38" s="32"/>
    </row>
    <row r="39" customFormat="false" ht="24" hidden="false" customHeight="true" outlineLevel="0" collapsed="false">
      <c r="B39" s="81"/>
      <c r="C39" s="82"/>
      <c r="D39" s="86"/>
      <c r="E39" s="86"/>
      <c r="F39" s="56"/>
      <c r="G39" s="56"/>
      <c r="H39" s="56"/>
      <c r="I39" s="56"/>
      <c r="J39" s="56"/>
      <c r="K39" s="56"/>
      <c r="L39" s="56"/>
      <c r="M39" s="56"/>
      <c r="N39" s="56"/>
      <c r="O39" s="56"/>
      <c r="P39" s="56"/>
      <c r="Q39" s="56"/>
      <c r="R39" s="100"/>
      <c r="S39" s="100"/>
      <c r="T39" s="100"/>
      <c r="U39" s="100"/>
      <c r="V39" s="100"/>
      <c r="W39" s="101"/>
      <c r="X39" s="101"/>
      <c r="Y39" s="101"/>
      <c r="Z39" s="102"/>
      <c r="AA39" s="1"/>
      <c r="AB39" s="85"/>
      <c r="AC39" s="31"/>
      <c r="AD39" s="31"/>
      <c r="AE39" s="31"/>
      <c r="AF39" s="31"/>
      <c r="AG39" s="31"/>
      <c r="AH39" s="32"/>
      <c r="AI39" s="99" t="s">
        <v>99</v>
      </c>
      <c r="AJ39" s="96"/>
      <c r="AK39" s="1" t="s">
        <v>100</v>
      </c>
      <c r="AL39" s="32"/>
      <c r="AM39" s="32"/>
    </row>
    <row r="40" customFormat="false" ht="24" hidden="false" customHeight="true" outlineLevel="0" collapsed="false">
      <c r="B40" s="81"/>
      <c r="C40" s="82"/>
      <c r="D40" s="103"/>
      <c r="E40" s="103"/>
      <c r="F40" s="104"/>
      <c r="G40" s="104"/>
      <c r="H40" s="104"/>
      <c r="I40" s="104"/>
      <c r="J40" s="104"/>
      <c r="K40" s="104"/>
      <c r="L40" s="104"/>
      <c r="M40" s="104"/>
      <c r="N40" s="104"/>
      <c r="O40" s="104"/>
      <c r="P40" s="104"/>
      <c r="Q40" s="104"/>
      <c r="R40" s="104"/>
      <c r="S40" s="104"/>
      <c r="T40" s="104"/>
      <c r="U40" s="105"/>
      <c r="V40" s="105"/>
      <c r="W40" s="105"/>
      <c r="X40" s="105"/>
      <c r="Y40" s="105"/>
      <c r="Z40" s="105"/>
      <c r="AA40" s="1"/>
      <c r="AB40" s="85"/>
      <c r="AC40" s="31"/>
      <c r="AD40" s="31"/>
      <c r="AE40" s="31"/>
      <c r="AF40" s="31"/>
      <c r="AG40" s="31"/>
      <c r="AH40" s="32"/>
      <c r="AI40" s="99" t="s">
        <v>101</v>
      </c>
      <c r="AJ40" s="96"/>
      <c r="AK40" s="34" t="s">
        <v>102</v>
      </c>
      <c r="AL40" s="32"/>
      <c r="AM40" s="32"/>
    </row>
    <row r="41" customFormat="false" ht="24" hidden="false" customHeight="true" outlineLevel="0" collapsed="false">
      <c r="B41" s="81"/>
      <c r="C41" s="82"/>
      <c r="D41" s="106" t="s">
        <v>103</v>
      </c>
      <c r="E41" s="106"/>
      <c r="F41" s="106"/>
      <c r="G41" s="106"/>
      <c r="H41" s="106"/>
      <c r="I41" s="106"/>
      <c r="J41" s="106"/>
      <c r="K41" s="106"/>
      <c r="L41" s="106"/>
      <c r="M41" s="106"/>
      <c r="N41" s="106"/>
      <c r="O41" s="106"/>
      <c r="P41" s="106"/>
      <c r="Q41" s="106"/>
      <c r="R41" s="106"/>
      <c r="S41" s="106"/>
      <c r="T41" s="106"/>
      <c r="U41" s="106"/>
      <c r="V41" s="106"/>
      <c r="W41" s="106"/>
      <c r="X41" s="106"/>
      <c r="Y41" s="106"/>
      <c r="Z41" s="106"/>
      <c r="AA41" s="1"/>
      <c r="AB41" s="85"/>
      <c r="AC41" s="31"/>
      <c r="AD41" s="31"/>
      <c r="AE41" s="31"/>
      <c r="AF41" s="31"/>
      <c r="AG41" s="31"/>
      <c r="AH41" s="32"/>
      <c r="AI41" s="99" t="s">
        <v>104</v>
      </c>
      <c r="AJ41" s="96"/>
      <c r="AK41" s="33"/>
      <c r="AL41" s="32"/>
      <c r="AM41" s="32"/>
    </row>
    <row r="42" customFormat="false" ht="36" hidden="false" customHeight="true" outlineLevel="0" collapsed="false">
      <c r="B42" s="81"/>
      <c r="C42" s="82"/>
      <c r="D42" s="107" t="s">
        <v>105</v>
      </c>
      <c r="E42" s="107"/>
      <c r="F42" s="107"/>
      <c r="G42" s="107"/>
      <c r="H42" s="107"/>
      <c r="I42" s="107"/>
      <c r="J42" s="107"/>
      <c r="K42" s="107"/>
      <c r="L42" s="107"/>
      <c r="M42" s="107"/>
      <c r="N42" s="107"/>
      <c r="O42" s="107"/>
      <c r="P42" s="107"/>
      <c r="Q42" s="107"/>
      <c r="R42" s="107"/>
      <c r="S42" s="107"/>
      <c r="T42" s="107"/>
      <c r="U42" s="107"/>
      <c r="V42" s="107"/>
      <c r="W42" s="107"/>
      <c r="X42" s="107"/>
      <c r="Y42" s="107"/>
      <c r="Z42" s="107"/>
      <c r="AA42" s="1"/>
      <c r="AB42" s="85"/>
      <c r="AC42" s="31"/>
      <c r="AD42" s="31"/>
      <c r="AE42" s="31"/>
      <c r="AF42" s="31"/>
      <c r="AG42" s="31"/>
      <c r="AH42" s="32"/>
      <c r="AI42" s="99" t="s">
        <v>106</v>
      </c>
      <c r="AJ42" s="96"/>
      <c r="AK42" s="33"/>
      <c r="AL42" s="32"/>
      <c r="AM42" s="32"/>
    </row>
    <row r="43" customFormat="false" ht="25.5" hidden="true" customHeight="true" outlineLevel="0" collapsed="false">
      <c r="B43" s="81"/>
      <c r="C43" s="82"/>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
      <c r="AB43" s="85"/>
      <c r="AC43" s="31"/>
      <c r="AD43" s="31"/>
      <c r="AE43" s="31"/>
      <c r="AF43" s="31"/>
      <c r="AG43" s="31"/>
      <c r="AH43" s="32"/>
      <c r="AI43" s="99" t="s">
        <v>107</v>
      </c>
      <c r="AJ43" s="96"/>
      <c r="AK43" s="33"/>
      <c r="AL43" s="32"/>
      <c r="AM43" s="32"/>
    </row>
    <row r="44" customFormat="false" ht="6" hidden="false" customHeight="true" outlineLevel="0" collapsed="false">
      <c r="B44" s="81"/>
      <c r="C44" s="82"/>
      <c r="D44" s="82"/>
      <c r="E44" s="82"/>
      <c r="F44" s="83"/>
      <c r="G44" s="83"/>
      <c r="H44" s="83"/>
      <c r="I44" s="83"/>
      <c r="J44" s="83"/>
      <c r="K44" s="83"/>
      <c r="L44" s="83"/>
      <c r="M44" s="83"/>
      <c r="N44" s="1"/>
      <c r="O44" s="1"/>
      <c r="P44" s="1"/>
      <c r="Q44" s="1"/>
      <c r="R44" s="1"/>
      <c r="S44" s="1"/>
      <c r="T44" s="1"/>
      <c r="U44" s="1"/>
      <c r="V44" s="1"/>
      <c r="W44" s="1"/>
      <c r="X44" s="1"/>
      <c r="Y44" s="1"/>
      <c r="Z44" s="1"/>
      <c r="AA44" s="1"/>
      <c r="AB44" s="85"/>
      <c r="AC44" s="31"/>
      <c r="AD44" s="31"/>
      <c r="AE44" s="31"/>
      <c r="AF44" s="31"/>
      <c r="AG44" s="31"/>
      <c r="AH44" s="32"/>
      <c r="AI44" s="99" t="s">
        <v>108</v>
      </c>
      <c r="AJ44" s="96"/>
      <c r="AK44" s="33"/>
      <c r="AL44" s="32"/>
      <c r="AM44" s="32"/>
    </row>
    <row r="45" customFormat="false" ht="30" hidden="false" customHeight="true" outlineLevel="0" collapsed="false">
      <c r="B45" s="41" t="n">
        <v>9</v>
      </c>
      <c r="C45" s="109" t="s">
        <v>109</v>
      </c>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31"/>
      <c r="AD45" s="31"/>
      <c r="AE45" s="31"/>
      <c r="AF45" s="31"/>
      <c r="AG45" s="31"/>
      <c r="AH45" s="32"/>
      <c r="AI45" s="110"/>
      <c r="AJ45" s="96"/>
      <c r="AK45" s="33"/>
      <c r="AL45" s="32"/>
      <c r="AM45" s="32"/>
    </row>
    <row r="46" customFormat="false" ht="24" hidden="false" customHeight="true" outlineLevel="0" collapsed="false">
      <c r="B46" s="79"/>
      <c r="C46" s="111" t="s">
        <v>110</v>
      </c>
      <c r="D46" s="111"/>
      <c r="E46" s="111"/>
      <c r="F46" s="111"/>
      <c r="G46" s="111"/>
      <c r="H46" s="111"/>
      <c r="I46" s="53" t="n">
        <v>1</v>
      </c>
      <c r="J46" s="68"/>
      <c r="K46" s="68"/>
      <c r="L46" s="68"/>
      <c r="M46" s="68"/>
      <c r="N46" s="68"/>
      <c r="O46" s="68"/>
      <c r="P46" s="68"/>
      <c r="Q46" s="68"/>
      <c r="R46" s="68"/>
      <c r="S46" s="68"/>
      <c r="T46" s="68"/>
      <c r="U46" s="68"/>
      <c r="V46" s="68"/>
      <c r="W46" s="68"/>
      <c r="X46" s="68"/>
      <c r="Y46" s="68"/>
      <c r="Z46" s="68"/>
      <c r="AA46" s="1"/>
      <c r="AB46" s="85"/>
      <c r="AC46" s="31"/>
      <c r="AD46" s="31"/>
      <c r="AE46" s="31"/>
      <c r="AF46" s="31"/>
      <c r="AG46" s="31"/>
      <c r="AH46" s="32"/>
      <c r="AI46" s="33" t="s">
        <v>111</v>
      </c>
      <c r="AJ46" s="96"/>
      <c r="AK46" s="33"/>
      <c r="AL46" s="31"/>
      <c r="AM46" s="31"/>
    </row>
    <row r="47" customFormat="false" ht="24" hidden="false" customHeight="true" outlineLevel="0" collapsed="false">
      <c r="B47" s="79"/>
      <c r="C47" s="111"/>
      <c r="D47" s="111"/>
      <c r="E47" s="111"/>
      <c r="F47" s="111"/>
      <c r="G47" s="111"/>
      <c r="H47" s="111"/>
      <c r="I47" s="53" t="n">
        <v>2</v>
      </c>
      <c r="J47" s="68"/>
      <c r="K47" s="68"/>
      <c r="L47" s="68"/>
      <c r="M47" s="68"/>
      <c r="N47" s="68"/>
      <c r="O47" s="68"/>
      <c r="P47" s="68"/>
      <c r="Q47" s="68"/>
      <c r="R47" s="68"/>
      <c r="S47" s="68"/>
      <c r="T47" s="68"/>
      <c r="U47" s="68"/>
      <c r="V47" s="68"/>
      <c r="W47" s="68"/>
      <c r="X47" s="68"/>
      <c r="Y47" s="68"/>
      <c r="Z47" s="68"/>
      <c r="AA47" s="1"/>
      <c r="AB47" s="85"/>
      <c r="AC47" s="31"/>
      <c r="AD47" s="31"/>
      <c r="AE47" s="31"/>
      <c r="AF47" s="31"/>
      <c r="AG47" s="31"/>
      <c r="AH47" s="32"/>
      <c r="AI47" s="33" t="s">
        <v>112</v>
      </c>
      <c r="AJ47" s="96"/>
      <c r="AK47" s="33"/>
      <c r="AL47" s="31"/>
      <c r="AM47" s="31"/>
    </row>
    <row r="48" customFormat="false" ht="24" hidden="false" customHeight="true" outlineLevel="0" collapsed="false">
      <c r="B48" s="81"/>
      <c r="C48" s="111"/>
      <c r="D48" s="111"/>
      <c r="E48" s="111"/>
      <c r="F48" s="111"/>
      <c r="G48" s="111"/>
      <c r="H48" s="111"/>
      <c r="I48" s="53" t="n">
        <v>3</v>
      </c>
      <c r="J48" s="68"/>
      <c r="K48" s="68"/>
      <c r="L48" s="68"/>
      <c r="M48" s="68"/>
      <c r="N48" s="68"/>
      <c r="O48" s="68"/>
      <c r="P48" s="68"/>
      <c r="Q48" s="68"/>
      <c r="R48" s="68"/>
      <c r="S48" s="68"/>
      <c r="T48" s="68"/>
      <c r="U48" s="68"/>
      <c r="V48" s="68"/>
      <c r="W48" s="68"/>
      <c r="X48" s="68"/>
      <c r="Y48" s="68"/>
      <c r="Z48" s="68"/>
      <c r="AA48" s="1"/>
      <c r="AB48" s="85"/>
      <c r="AC48" s="31"/>
      <c r="AD48" s="31"/>
      <c r="AE48" s="31"/>
      <c r="AF48" s="31"/>
      <c r="AG48" s="31"/>
      <c r="AH48" s="32"/>
      <c r="AI48" s="33" t="s">
        <v>113</v>
      </c>
      <c r="AJ48" s="96"/>
      <c r="AK48" s="33"/>
      <c r="AL48" s="31"/>
      <c r="AM48" s="31"/>
    </row>
    <row r="49" customFormat="false" ht="15" hidden="false" customHeight="true" outlineLevel="0" collapsed="false">
      <c r="B49" s="81"/>
      <c r="C49" s="111"/>
      <c r="D49" s="111"/>
      <c r="E49" s="111"/>
      <c r="F49" s="111"/>
      <c r="G49" s="111"/>
      <c r="H49" s="111"/>
      <c r="I49" s="112" t="s">
        <v>114</v>
      </c>
      <c r="J49" s="112"/>
      <c r="K49" s="112"/>
      <c r="L49" s="112"/>
      <c r="M49" s="112"/>
      <c r="N49" s="112"/>
      <c r="O49" s="112"/>
      <c r="P49" s="112"/>
      <c r="Q49" s="112"/>
      <c r="R49" s="112"/>
      <c r="S49" s="112"/>
      <c r="T49" s="112"/>
      <c r="U49" s="112"/>
      <c r="V49" s="112"/>
      <c r="W49" s="112"/>
      <c r="X49" s="112"/>
      <c r="Y49" s="112"/>
      <c r="Z49" s="112"/>
      <c r="AA49" s="1"/>
      <c r="AB49" s="85"/>
      <c r="AC49" s="31"/>
      <c r="AD49" s="31"/>
      <c r="AE49" s="31"/>
      <c r="AF49" s="31"/>
      <c r="AG49" s="31"/>
      <c r="AH49" s="32"/>
      <c r="AI49" s="33" t="s">
        <v>115</v>
      </c>
      <c r="AJ49" s="96"/>
      <c r="AK49" s="33"/>
      <c r="AL49" s="31"/>
      <c r="AM49" s="31"/>
    </row>
    <row r="50" customFormat="false" ht="14.25" hidden="false" customHeight="true" outlineLevel="0" collapsed="false">
      <c r="B50" s="81"/>
      <c r="C50" s="111"/>
      <c r="D50" s="111"/>
      <c r="E50" s="111"/>
      <c r="F50" s="111"/>
      <c r="G50" s="111"/>
      <c r="H50" s="111"/>
      <c r="I50" s="113" t="n">
        <v>4</v>
      </c>
      <c r="J50" s="114"/>
      <c r="K50" s="114"/>
      <c r="L50" s="114"/>
      <c r="M50" s="114"/>
      <c r="N50" s="114"/>
      <c r="O50" s="114"/>
      <c r="P50" s="114"/>
      <c r="Q50" s="114"/>
      <c r="R50" s="114"/>
      <c r="S50" s="114"/>
      <c r="T50" s="114"/>
      <c r="U50" s="114"/>
      <c r="V50" s="114"/>
      <c r="W50" s="114"/>
      <c r="X50" s="114"/>
      <c r="Y50" s="114"/>
      <c r="Z50" s="114"/>
      <c r="AA50" s="1"/>
      <c r="AB50" s="85"/>
      <c r="AC50" s="31"/>
      <c r="AD50" s="31"/>
      <c r="AE50" s="31"/>
      <c r="AF50" s="31"/>
      <c r="AG50" s="31"/>
      <c r="AH50" s="32"/>
      <c r="AI50" s="33" t="s">
        <v>116</v>
      </c>
      <c r="AJ50" s="96"/>
      <c r="AK50" s="33"/>
      <c r="AL50" s="31"/>
      <c r="AM50" s="31"/>
    </row>
    <row r="51" customFormat="false" ht="34.5" hidden="false" customHeight="true" outlineLevel="0" collapsed="false">
      <c r="B51" s="81"/>
      <c r="C51" s="111"/>
      <c r="D51" s="111"/>
      <c r="E51" s="111"/>
      <c r="F51" s="111"/>
      <c r="G51" s="111"/>
      <c r="H51" s="111"/>
      <c r="I51" s="113"/>
      <c r="J51" s="114"/>
      <c r="K51" s="114"/>
      <c r="L51" s="114"/>
      <c r="M51" s="114"/>
      <c r="N51" s="114"/>
      <c r="O51" s="114"/>
      <c r="P51" s="114"/>
      <c r="Q51" s="114"/>
      <c r="R51" s="114"/>
      <c r="S51" s="114"/>
      <c r="T51" s="114"/>
      <c r="U51" s="114"/>
      <c r="V51" s="114"/>
      <c r="W51" s="114"/>
      <c r="X51" s="114"/>
      <c r="Y51" s="114"/>
      <c r="Z51" s="114"/>
      <c r="AA51" s="1"/>
      <c r="AB51" s="85"/>
      <c r="AC51" s="31"/>
      <c r="AD51" s="31"/>
      <c r="AE51" s="31"/>
      <c r="AF51" s="31"/>
      <c r="AG51" s="31"/>
      <c r="AH51" s="32"/>
      <c r="AI51" s="33" t="s">
        <v>117</v>
      </c>
      <c r="AJ51" s="96"/>
      <c r="AK51" s="33"/>
      <c r="AL51" s="31"/>
      <c r="AM51" s="31"/>
    </row>
    <row r="52" customFormat="false" ht="14.25" hidden="false" customHeight="true" outlineLevel="0" collapsed="false">
      <c r="B52" s="115"/>
      <c r="C52" s="116"/>
      <c r="D52" s="116"/>
      <c r="E52" s="116"/>
      <c r="F52" s="117"/>
      <c r="G52" s="117"/>
      <c r="H52" s="117"/>
      <c r="I52" s="117"/>
      <c r="J52" s="117"/>
      <c r="K52" s="117"/>
      <c r="L52" s="117"/>
      <c r="M52" s="117"/>
      <c r="N52" s="118"/>
      <c r="O52" s="118"/>
      <c r="P52" s="118"/>
      <c r="Q52" s="118"/>
      <c r="R52" s="118"/>
      <c r="S52" s="118"/>
      <c r="T52" s="118"/>
      <c r="U52" s="118"/>
      <c r="V52" s="118"/>
      <c r="W52" s="118"/>
      <c r="X52" s="118"/>
      <c r="Y52" s="118"/>
      <c r="Z52" s="118"/>
      <c r="AA52" s="118"/>
      <c r="AB52" s="119" t="s">
        <v>118</v>
      </c>
      <c r="AC52" s="31"/>
      <c r="AD52" s="31"/>
      <c r="AE52" s="31"/>
      <c r="AF52" s="31"/>
      <c r="AG52" s="31"/>
      <c r="AH52" s="32"/>
      <c r="AI52" s="33" t="s">
        <v>119</v>
      </c>
      <c r="AJ52" s="34"/>
      <c r="AK52" s="33"/>
      <c r="AL52" s="31"/>
      <c r="AM52" s="31"/>
    </row>
    <row r="53" customFormat="false" ht="14.25" hidden="false" customHeight="true" outlineLevel="0" collapsed="false">
      <c r="B53" s="79" t="n">
        <v>10</v>
      </c>
      <c r="C53" s="80" t="s">
        <v>120</v>
      </c>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31"/>
      <c r="AD53" s="31"/>
      <c r="AE53" s="31"/>
      <c r="AF53" s="31"/>
      <c r="AG53" s="31"/>
      <c r="AH53" s="32"/>
      <c r="AI53" s="33" t="s">
        <v>121</v>
      </c>
      <c r="AJ53" s="34"/>
      <c r="AK53" s="33"/>
      <c r="AL53" s="31"/>
      <c r="AM53" s="31"/>
    </row>
    <row r="54" customFormat="false" ht="14.25" hidden="false" customHeight="true" outlineLevel="0" collapsed="false">
      <c r="B54" s="79"/>
      <c r="C54" s="120" t="s">
        <v>122</v>
      </c>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1"/>
      <c r="AC54" s="31"/>
      <c r="AD54" s="31"/>
      <c r="AE54" s="31"/>
      <c r="AF54" s="31"/>
      <c r="AG54" s="31"/>
      <c r="AH54" s="32"/>
      <c r="AI54" s="33" t="s">
        <v>123</v>
      </c>
      <c r="AJ54" s="34"/>
      <c r="AK54" s="33"/>
      <c r="AL54" s="31"/>
      <c r="AM54" s="31"/>
    </row>
    <row r="55" customFormat="false" ht="14.25" hidden="false" customHeight="true" outlineLevel="0" collapsed="false">
      <c r="B55" s="79"/>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1"/>
      <c r="AC55" s="31"/>
      <c r="AD55" s="31"/>
      <c r="AE55" s="31"/>
      <c r="AF55" s="31"/>
      <c r="AG55" s="31"/>
      <c r="AH55" s="32"/>
      <c r="AI55" s="33" t="s">
        <v>124</v>
      </c>
      <c r="AJ55" s="34"/>
      <c r="AK55" s="33"/>
      <c r="AL55" s="31"/>
      <c r="AM55" s="31"/>
    </row>
    <row r="56" customFormat="false" ht="30" hidden="false" customHeight="true" outlineLevel="0" collapsed="false">
      <c r="B56" s="81"/>
      <c r="C56" s="82"/>
      <c r="D56" s="86" t="s">
        <v>125</v>
      </c>
      <c r="E56" s="86"/>
      <c r="F56" s="86"/>
      <c r="G56" s="86"/>
      <c r="H56" s="86"/>
      <c r="I56" s="86"/>
      <c r="J56" s="86"/>
      <c r="K56" s="53" t="s">
        <v>126</v>
      </c>
      <c r="L56" s="53"/>
      <c r="M56" s="86" t="s">
        <v>127</v>
      </c>
      <c r="N56" s="86"/>
      <c r="O56" s="86"/>
      <c r="P56" s="86"/>
      <c r="Q56" s="86"/>
      <c r="R56" s="86"/>
      <c r="S56" s="86"/>
      <c r="T56" s="86"/>
      <c r="U56" s="86"/>
      <c r="V56" s="86"/>
      <c r="W56" s="86"/>
      <c r="X56" s="123" t="s">
        <v>128</v>
      </c>
      <c r="Y56" s="123"/>
      <c r="Z56" s="123"/>
      <c r="AA56" s="1"/>
      <c r="AB56" s="121"/>
      <c r="AC56" s="31"/>
      <c r="AD56" s="31"/>
      <c r="AE56" s="31"/>
      <c r="AF56" s="31"/>
      <c r="AG56" s="31"/>
      <c r="AH56" s="32"/>
      <c r="AI56" s="33" t="s">
        <v>129</v>
      </c>
      <c r="AJ56" s="34"/>
      <c r="AK56" s="33"/>
      <c r="AL56" s="31"/>
      <c r="AM56" s="31"/>
    </row>
    <row r="57" customFormat="false" ht="18" hidden="false" customHeight="true" outlineLevel="0" collapsed="false">
      <c r="B57" s="81"/>
      <c r="C57" s="82"/>
      <c r="D57" s="86"/>
      <c r="E57" s="86"/>
      <c r="F57" s="86"/>
      <c r="G57" s="86"/>
      <c r="H57" s="86"/>
      <c r="I57" s="86"/>
      <c r="J57" s="86"/>
      <c r="K57" s="53"/>
      <c r="L57" s="53"/>
      <c r="M57" s="87" t="s">
        <v>130</v>
      </c>
      <c r="N57" s="87"/>
      <c r="O57" s="87"/>
      <c r="P57" s="87"/>
      <c r="Q57" s="87"/>
      <c r="R57" s="87"/>
      <c r="S57" s="87"/>
      <c r="T57" s="87"/>
      <c r="U57" s="53" t="s">
        <v>131</v>
      </c>
      <c r="V57" s="53"/>
      <c r="W57" s="53"/>
      <c r="X57" s="123"/>
      <c r="Y57" s="123"/>
      <c r="Z57" s="123"/>
      <c r="AA57" s="1"/>
      <c r="AB57" s="85"/>
      <c r="AC57" s="31"/>
      <c r="AD57" s="31"/>
      <c r="AE57" s="31"/>
      <c r="AF57" s="31"/>
      <c r="AG57" s="31"/>
      <c r="AH57" s="32"/>
      <c r="AI57" s="33"/>
      <c r="AJ57" s="34"/>
      <c r="AK57" s="33"/>
      <c r="AL57" s="31"/>
      <c r="AM57" s="31"/>
    </row>
    <row r="58" customFormat="false" ht="60" hidden="false" customHeight="true" outlineLevel="0" collapsed="false">
      <c r="B58" s="81"/>
      <c r="C58" s="82"/>
      <c r="D58" s="86"/>
      <c r="E58" s="86"/>
      <c r="F58" s="86"/>
      <c r="G58" s="86"/>
      <c r="H58" s="86"/>
      <c r="I58" s="86"/>
      <c r="J58" s="86"/>
      <c r="K58" s="53"/>
      <c r="L58" s="53"/>
      <c r="M58" s="86" t="s">
        <v>132</v>
      </c>
      <c r="N58" s="86"/>
      <c r="O58" s="86"/>
      <c r="P58" s="86"/>
      <c r="Q58" s="87" t="s">
        <v>133</v>
      </c>
      <c r="R58" s="87"/>
      <c r="S58" s="87"/>
      <c r="T58" s="87"/>
      <c r="U58" s="53"/>
      <c r="V58" s="53"/>
      <c r="W58" s="53"/>
      <c r="X58" s="123"/>
      <c r="Y58" s="123"/>
      <c r="Z58" s="123"/>
      <c r="AA58" s="1"/>
      <c r="AB58" s="85"/>
      <c r="AC58" s="31"/>
      <c r="AD58" s="31"/>
      <c r="AE58" s="31"/>
      <c r="AF58" s="31"/>
      <c r="AG58" s="31"/>
      <c r="AH58" s="32"/>
      <c r="AI58" s="33"/>
      <c r="AJ58" s="34"/>
      <c r="AK58" s="33"/>
      <c r="AL58" s="31"/>
      <c r="AM58" s="31"/>
    </row>
    <row r="59" customFormat="false" ht="14.25" hidden="false" customHeight="true" outlineLevel="0" collapsed="false">
      <c r="B59" s="81"/>
      <c r="C59" s="82"/>
      <c r="D59" s="86"/>
      <c r="E59" s="86"/>
      <c r="F59" s="86"/>
      <c r="G59" s="86"/>
      <c r="H59" s="86"/>
      <c r="I59" s="86"/>
      <c r="J59" s="86"/>
      <c r="K59" s="53"/>
      <c r="L59" s="53"/>
      <c r="M59" s="53" t="s">
        <v>134</v>
      </c>
      <c r="N59" s="53" t="s">
        <v>135</v>
      </c>
      <c r="O59" s="53" t="s">
        <v>136</v>
      </c>
      <c r="P59" s="53" t="s">
        <v>137</v>
      </c>
      <c r="Q59" s="53" t="s">
        <v>134</v>
      </c>
      <c r="R59" s="53" t="s">
        <v>135</v>
      </c>
      <c r="S59" s="53" t="s">
        <v>136</v>
      </c>
      <c r="T59" s="124" t="s">
        <v>137</v>
      </c>
      <c r="U59" s="53"/>
      <c r="V59" s="53"/>
      <c r="W59" s="53"/>
      <c r="X59" s="123"/>
      <c r="Y59" s="123"/>
      <c r="Z59" s="123"/>
      <c r="AA59" s="1"/>
      <c r="AB59" s="85"/>
      <c r="AC59" s="31"/>
      <c r="AD59" s="31"/>
      <c r="AE59" s="31"/>
      <c r="AF59" s="31"/>
      <c r="AG59" s="31"/>
      <c r="AH59" s="32"/>
      <c r="AI59" s="33"/>
      <c r="AJ59" s="34"/>
      <c r="AK59" s="33"/>
      <c r="AL59" s="31"/>
      <c r="AM59" s="31"/>
    </row>
    <row r="60" customFormat="false" ht="23.25" hidden="false" customHeight="true" outlineLevel="0" collapsed="false">
      <c r="B60" s="81"/>
      <c r="C60" s="82"/>
      <c r="D60" s="56" t="n">
        <v>1</v>
      </c>
      <c r="E60" s="125"/>
      <c r="F60" s="125"/>
      <c r="G60" s="125"/>
      <c r="H60" s="125"/>
      <c r="I60" s="125"/>
      <c r="J60" s="125"/>
      <c r="K60" s="55"/>
      <c r="L60" s="55"/>
      <c r="M60" s="56"/>
      <c r="N60" s="56"/>
      <c r="O60" s="56"/>
      <c r="P60" s="56"/>
      <c r="Q60" s="56"/>
      <c r="R60" s="56"/>
      <c r="S60" s="56"/>
      <c r="T60" s="56"/>
      <c r="U60" s="57"/>
      <c r="V60" s="57"/>
      <c r="W60" s="57"/>
      <c r="X60" s="126"/>
      <c r="Y60" s="126"/>
      <c r="Z60" s="126"/>
      <c r="AA60" s="1"/>
      <c r="AB60" s="85"/>
      <c r="AC60" s="31"/>
      <c r="AD60" s="31"/>
      <c r="AE60" s="31"/>
      <c r="AF60" s="31"/>
      <c r="AG60" s="31"/>
      <c r="AH60" s="32"/>
      <c r="AI60" s="33"/>
      <c r="AJ60" s="34"/>
      <c r="AK60" s="33"/>
      <c r="AL60" s="31"/>
      <c r="AM60" s="31"/>
    </row>
    <row r="61" customFormat="false" ht="22.5" hidden="false" customHeight="true" outlineLevel="0" collapsed="false">
      <c r="B61" s="81"/>
      <c r="C61" s="82"/>
      <c r="D61" s="56" t="n">
        <v>2</v>
      </c>
      <c r="E61" s="125"/>
      <c r="F61" s="125"/>
      <c r="G61" s="125"/>
      <c r="H61" s="125"/>
      <c r="I61" s="125"/>
      <c r="J61" s="125"/>
      <c r="K61" s="55"/>
      <c r="L61" s="55"/>
      <c r="M61" s="56"/>
      <c r="N61" s="56"/>
      <c r="O61" s="56"/>
      <c r="P61" s="56"/>
      <c r="Q61" s="56"/>
      <c r="R61" s="56"/>
      <c r="S61" s="56"/>
      <c r="T61" s="56"/>
      <c r="U61" s="57"/>
      <c r="V61" s="57"/>
      <c r="W61" s="57"/>
      <c r="X61" s="127"/>
      <c r="Y61" s="127"/>
      <c r="Z61" s="127"/>
      <c r="AA61" s="1"/>
      <c r="AB61" s="85"/>
      <c r="AC61" s="31"/>
      <c r="AD61" s="31"/>
      <c r="AE61" s="31"/>
      <c r="AF61" s="31"/>
      <c r="AG61" s="31"/>
      <c r="AH61" s="32"/>
      <c r="AI61" s="33"/>
      <c r="AJ61" s="34"/>
      <c r="AK61" s="33"/>
      <c r="AL61" s="31"/>
      <c r="AM61" s="31"/>
    </row>
    <row r="62" customFormat="false" ht="30" hidden="false" customHeight="true" outlineLevel="0" collapsed="false">
      <c r="B62" s="81"/>
      <c r="C62" s="82"/>
      <c r="D62" s="56" t="n">
        <v>3</v>
      </c>
      <c r="E62" s="125"/>
      <c r="F62" s="125"/>
      <c r="G62" s="125"/>
      <c r="H62" s="125"/>
      <c r="I62" s="125"/>
      <c r="J62" s="125"/>
      <c r="K62" s="55"/>
      <c r="L62" s="55"/>
      <c r="M62" s="56"/>
      <c r="N62" s="56"/>
      <c r="O62" s="56"/>
      <c r="P62" s="56"/>
      <c r="Q62" s="56"/>
      <c r="R62" s="56"/>
      <c r="S62" s="56"/>
      <c r="T62" s="56"/>
      <c r="U62" s="57"/>
      <c r="V62" s="57"/>
      <c r="W62" s="57"/>
      <c r="X62" s="127"/>
      <c r="Y62" s="127"/>
      <c r="Z62" s="127"/>
      <c r="AA62" s="1"/>
      <c r="AB62" s="85"/>
      <c r="AC62" s="31"/>
      <c r="AD62" s="31"/>
      <c r="AE62" s="31"/>
      <c r="AF62" s="31"/>
      <c r="AG62" s="31"/>
      <c r="AH62" s="32"/>
      <c r="AI62" s="33"/>
      <c r="AJ62" s="34"/>
      <c r="AK62" s="33"/>
      <c r="AL62" s="31"/>
      <c r="AM62" s="31"/>
    </row>
    <row r="63" customFormat="false" ht="30" hidden="false" customHeight="true" outlineLevel="0" collapsed="false">
      <c r="B63" s="81"/>
      <c r="C63" s="82"/>
      <c r="D63" s="56" t="n">
        <v>4</v>
      </c>
      <c r="E63" s="125"/>
      <c r="F63" s="125"/>
      <c r="G63" s="125"/>
      <c r="H63" s="125"/>
      <c r="I63" s="125"/>
      <c r="J63" s="125"/>
      <c r="K63" s="55"/>
      <c r="L63" s="55"/>
      <c r="M63" s="56"/>
      <c r="N63" s="56"/>
      <c r="O63" s="56"/>
      <c r="P63" s="56"/>
      <c r="Q63" s="56"/>
      <c r="R63" s="56"/>
      <c r="S63" s="56"/>
      <c r="T63" s="56"/>
      <c r="U63" s="57"/>
      <c r="V63" s="57"/>
      <c r="W63" s="57"/>
      <c r="X63" s="127"/>
      <c r="Y63" s="127"/>
      <c r="Z63" s="127"/>
      <c r="AA63" s="1"/>
      <c r="AB63" s="85"/>
      <c r="AC63" s="31"/>
      <c r="AD63" s="31"/>
      <c r="AE63" s="31"/>
      <c r="AF63" s="31"/>
      <c r="AG63" s="31"/>
      <c r="AH63" s="32"/>
      <c r="AI63" s="33"/>
      <c r="AJ63" s="34"/>
      <c r="AK63" s="33"/>
      <c r="AL63" s="31"/>
      <c r="AM63" s="31"/>
    </row>
    <row r="64" customFormat="false" ht="30" hidden="false" customHeight="true" outlineLevel="0" collapsed="false">
      <c r="B64" s="81"/>
      <c r="C64" s="82"/>
      <c r="D64" s="56" t="n">
        <v>5</v>
      </c>
      <c r="E64" s="125"/>
      <c r="F64" s="125"/>
      <c r="G64" s="125"/>
      <c r="H64" s="125"/>
      <c r="I64" s="125"/>
      <c r="J64" s="125"/>
      <c r="K64" s="55"/>
      <c r="L64" s="55"/>
      <c r="M64" s="56"/>
      <c r="N64" s="56"/>
      <c r="O64" s="56"/>
      <c r="P64" s="56"/>
      <c r="Q64" s="56"/>
      <c r="R64" s="56"/>
      <c r="S64" s="56"/>
      <c r="T64" s="56"/>
      <c r="U64" s="57"/>
      <c r="V64" s="57"/>
      <c r="W64" s="57"/>
      <c r="X64" s="127"/>
      <c r="Y64" s="127"/>
      <c r="Z64" s="127"/>
      <c r="AA64" s="1"/>
      <c r="AB64" s="85"/>
      <c r="AC64" s="31"/>
      <c r="AD64" s="31"/>
      <c r="AE64" s="31"/>
      <c r="AF64" s="31"/>
      <c r="AG64" s="31"/>
      <c r="AH64" s="32"/>
      <c r="AI64" s="33"/>
      <c r="AJ64" s="34"/>
      <c r="AK64" s="33"/>
      <c r="AL64" s="31"/>
      <c r="AM64" s="31"/>
    </row>
    <row r="65" customFormat="false" ht="30" hidden="false" customHeight="true" outlineLevel="0" collapsed="false">
      <c r="B65" s="81"/>
      <c r="C65" s="82"/>
      <c r="D65" s="56" t="n">
        <v>6</v>
      </c>
      <c r="E65" s="125"/>
      <c r="F65" s="125"/>
      <c r="G65" s="125"/>
      <c r="H65" s="125"/>
      <c r="I65" s="125"/>
      <c r="J65" s="125"/>
      <c r="K65" s="55"/>
      <c r="L65" s="55"/>
      <c r="M65" s="56"/>
      <c r="N65" s="56"/>
      <c r="O65" s="56"/>
      <c r="P65" s="56"/>
      <c r="Q65" s="56"/>
      <c r="R65" s="56"/>
      <c r="S65" s="56"/>
      <c r="T65" s="56"/>
      <c r="U65" s="57"/>
      <c r="V65" s="57"/>
      <c r="W65" s="57"/>
      <c r="X65" s="127"/>
      <c r="Y65" s="127"/>
      <c r="Z65" s="127"/>
      <c r="AA65" s="1"/>
      <c r="AB65" s="85"/>
      <c r="AC65" s="31"/>
      <c r="AD65" s="31"/>
      <c r="AE65" s="31"/>
      <c r="AF65" s="31"/>
      <c r="AG65" s="31"/>
      <c r="AH65" s="32"/>
      <c r="AI65" s="33"/>
      <c r="AJ65" s="34"/>
      <c r="AK65" s="33"/>
      <c r="AL65" s="31"/>
      <c r="AM65" s="31"/>
    </row>
    <row r="66" customFormat="false" ht="30" hidden="false" customHeight="true" outlineLevel="0" collapsed="false">
      <c r="B66" s="81"/>
      <c r="C66" s="82"/>
      <c r="D66" s="56" t="n">
        <v>7</v>
      </c>
      <c r="E66" s="125"/>
      <c r="F66" s="125"/>
      <c r="G66" s="125"/>
      <c r="H66" s="125"/>
      <c r="I66" s="125"/>
      <c r="J66" s="125"/>
      <c r="K66" s="55"/>
      <c r="L66" s="55"/>
      <c r="M66" s="56"/>
      <c r="N66" s="56"/>
      <c r="O66" s="56"/>
      <c r="P66" s="56"/>
      <c r="Q66" s="56"/>
      <c r="R66" s="56"/>
      <c r="S66" s="56"/>
      <c r="T66" s="56"/>
      <c r="U66" s="57"/>
      <c r="V66" s="57"/>
      <c r="W66" s="57"/>
      <c r="X66" s="127"/>
      <c r="Y66" s="127"/>
      <c r="Z66" s="127"/>
      <c r="AA66" s="1"/>
      <c r="AB66" s="85"/>
      <c r="AC66" s="31"/>
      <c r="AD66" s="31"/>
      <c r="AE66" s="31"/>
      <c r="AF66" s="31"/>
      <c r="AG66" s="31"/>
      <c r="AH66" s="32"/>
      <c r="AI66" s="33"/>
      <c r="AJ66" s="34"/>
      <c r="AK66" s="33"/>
      <c r="AL66" s="31"/>
      <c r="AM66" s="31"/>
    </row>
    <row r="67" customFormat="false" ht="30" hidden="false" customHeight="true" outlineLevel="0" collapsed="false">
      <c r="B67" s="81"/>
      <c r="C67" s="82"/>
      <c r="D67" s="56" t="n">
        <v>8</v>
      </c>
      <c r="E67" s="125"/>
      <c r="F67" s="125"/>
      <c r="G67" s="125"/>
      <c r="H67" s="125"/>
      <c r="I67" s="125"/>
      <c r="J67" s="125"/>
      <c r="K67" s="55"/>
      <c r="L67" s="55"/>
      <c r="M67" s="56"/>
      <c r="N67" s="56"/>
      <c r="O67" s="56"/>
      <c r="P67" s="56"/>
      <c r="Q67" s="56"/>
      <c r="R67" s="56"/>
      <c r="S67" s="56"/>
      <c r="T67" s="56"/>
      <c r="U67" s="57"/>
      <c r="V67" s="57"/>
      <c r="W67" s="57"/>
      <c r="X67" s="127"/>
      <c r="Y67" s="127"/>
      <c r="Z67" s="127"/>
      <c r="AA67" s="1"/>
      <c r="AB67" s="85"/>
      <c r="AC67" s="31"/>
      <c r="AD67" s="31"/>
      <c r="AE67" s="31"/>
      <c r="AF67" s="31"/>
      <c r="AG67" s="31"/>
      <c r="AH67" s="32"/>
      <c r="AI67" s="33"/>
      <c r="AJ67" s="34"/>
      <c r="AK67" s="31"/>
      <c r="AL67" s="31"/>
      <c r="AM67" s="31"/>
    </row>
    <row r="68" customFormat="false" ht="30" hidden="false" customHeight="true" outlineLevel="0" collapsed="false">
      <c r="B68" s="81"/>
      <c r="C68" s="82"/>
      <c r="D68" s="56" t="n">
        <v>9</v>
      </c>
      <c r="E68" s="125"/>
      <c r="F68" s="125"/>
      <c r="G68" s="125"/>
      <c r="H68" s="125"/>
      <c r="I68" s="125"/>
      <c r="J68" s="125"/>
      <c r="K68" s="55"/>
      <c r="L68" s="55"/>
      <c r="M68" s="56"/>
      <c r="N68" s="56"/>
      <c r="O68" s="56"/>
      <c r="P68" s="56"/>
      <c r="Q68" s="56"/>
      <c r="R68" s="56"/>
      <c r="S68" s="56"/>
      <c r="T68" s="56"/>
      <c r="U68" s="57"/>
      <c r="V68" s="57"/>
      <c r="W68" s="57"/>
      <c r="X68" s="127"/>
      <c r="Y68" s="127"/>
      <c r="Z68" s="127"/>
      <c r="AA68" s="1"/>
      <c r="AB68" s="85"/>
      <c r="AC68" s="31"/>
      <c r="AD68" s="31"/>
      <c r="AE68" s="31"/>
      <c r="AF68" s="31"/>
      <c r="AG68" s="31"/>
      <c r="AH68" s="32"/>
      <c r="AI68" s="33"/>
      <c r="AJ68" s="34"/>
      <c r="AK68" s="31"/>
      <c r="AL68" s="31"/>
      <c r="AM68" s="31"/>
    </row>
    <row r="69" customFormat="false" ht="30" hidden="false" customHeight="true" outlineLevel="0" collapsed="false">
      <c r="B69" s="81"/>
      <c r="C69" s="82"/>
      <c r="D69" s="56" t="n">
        <v>10</v>
      </c>
      <c r="E69" s="125"/>
      <c r="F69" s="125"/>
      <c r="G69" s="125"/>
      <c r="H69" s="125"/>
      <c r="I69" s="125"/>
      <c r="J69" s="125"/>
      <c r="K69" s="55"/>
      <c r="L69" s="55"/>
      <c r="M69" s="56"/>
      <c r="N69" s="56"/>
      <c r="O69" s="56"/>
      <c r="P69" s="56"/>
      <c r="Q69" s="56"/>
      <c r="R69" s="56"/>
      <c r="S69" s="56"/>
      <c r="T69" s="56"/>
      <c r="U69" s="57"/>
      <c r="V69" s="57"/>
      <c r="W69" s="57"/>
      <c r="X69" s="127"/>
      <c r="Y69" s="127"/>
      <c r="Z69" s="127"/>
      <c r="AA69" s="1"/>
      <c r="AB69" s="85"/>
      <c r="AC69" s="31"/>
      <c r="AD69" s="31"/>
      <c r="AE69" s="31"/>
      <c r="AF69" s="31"/>
      <c r="AG69" s="31"/>
      <c r="AH69" s="32"/>
      <c r="AI69" s="33"/>
      <c r="AJ69" s="34"/>
      <c r="AK69" s="31"/>
      <c r="AL69" s="31"/>
      <c r="AM69" s="31"/>
    </row>
    <row r="70" customFormat="false" ht="30" hidden="false" customHeight="true" outlineLevel="0" collapsed="false">
      <c r="B70" s="81"/>
      <c r="C70" s="82"/>
      <c r="D70" s="56" t="n">
        <f aca="false">D69+1</f>
        <v>11</v>
      </c>
      <c r="E70" s="125"/>
      <c r="F70" s="125"/>
      <c r="G70" s="125"/>
      <c r="H70" s="125"/>
      <c r="I70" s="125"/>
      <c r="J70" s="125"/>
      <c r="K70" s="57"/>
      <c r="L70" s="128"/>
      <c r="M70" s="56"/>
      <c r="N70" s="56"/>
      <c r="O70" s="56"/>
      <c r="P70" s="56"/>
      <c r="Q70" s="56"/>
      <c r="R70" s="56"/>
      <c r="S70" s="56"/>
      <c r="T70" s="56"/>
      <c r="U70" s="57"/>
      <c r="V70" s="129"/>
      <c r="W70" s="129"/>
      <c r="X70" s="97"/>
      <c r="Y70" s="130"/>
      <c r="Z70" s="131"/>
      <c r="AA70" s="1"/>
      <c r="AB70" s="85"/>
      <c r="AC70" s="31"/>
      <c r="AD70" s="31"/>
      <c r="AE70" s="31"/>
      <c r="AF70" s="31"/>
      <c r="AG70" s="31"/>
      <c r="AH70" s="32"/>
      <c r="AI70" s="33"/>
      <c r="AJ70" s="34"/>
      <c r="AK70" s="31"/>
      <c r="AL70" s="31"/>
      <c r="AM70" s="31"/>
    </row>
    <row r="71" customFormat="false" ht="30" hidden="false" customHeight="true" outlineLevel="0" collapsed="false">
      <c r="B71" s="81"/>
      <c r="C71" s="82"/>
      <c r="D71" s="56" t="n">
        <f aca="false">D70+1</f>
        <v>12</v>
      </c>
      <c r="E71" s="125"/>
      <c r="F71" s="125"/>
      <c r="G71" s="125"/>
      <c r="H71" s="125"/>
      <c r="I71" s="125"/>
      <c r="J71" s="125"/>
      <c r="K71" s="57"/>
      <c r="L71" s="128"/>
      <c r="M71" s="56"/>
      <c r="N71" s="56"/>
      <c r="O71" s="56"/>
      <c r="P71" s="56"/>
      <c r="Q71" s="56"/>
      <c r="R71" s="56"/>
      <c r="S71" s="56"/>
      <c r="T71" s="56"/>
      <c r="U71" s="57"/>
      <c r="V71" s="129"/>
      <c r="W71" s="129"/>
      <c r="X71" s="97"/>
      <c r="Y71" s="130"/>
      <c r="Z71" s="131"/>
      <c r="AA71" s="1"/>
      <c r="AB71" s="85"/>
      <c r="AC71" s="31"/>
      <c r="AD71" s="31"/>
      <c r="AE71" s="31"/>
      <c r="AF71" s="31"/>
      <c r="AG71" s="31"/>
      <c r="AH71" s="32"/>
      <c r="AI71" s="33"/>
      <c r="AJ71" s="34"/>
      <c r="AK71" s="31"/>
      <c r="AL71" s="31"/>
      <c r="AM71" s="31"/>
    </row>
    <row r="72" customFormat="false" ht="30" hidden="false" customHeight="true" outlineLevel="0" collapsed="false">
      <c r="B72" s="81"/>
      <c r="C72" s="82"/>
      <c r="D72" s="56" t="n">
        <f aca="false">D71+1</f>
        <v>13</v>
      </c>
      <c r="E72" s="125"/>
      <c r="F72" s="125"/>
      <c r="G72" s="125"/>
      <c r="H72" s="125"/>
      <c r="I72" s="125"/>
      <c r="J72" s="125"/>
      <c r="K72" s="57"/>
      <c r="L72" s="128"/>
      <c r="M72" s="56"/>
      <c r="N72" s="56"/>
      <c r="O72" s="56"/>
      <c r="P72" s="56"/>
      <c r="Q72" s="56"/>
      <c r="R72" s="56"/>
      <c r="S72" s="56"/>
      <c r="T72" s="56"/>
      <c r="U72" s="57"/>
      <c r="V72" s="129"/>
      <c r="W72" s="129"/>
      <c r="X72" s="97"/>
      <c r="Y72" s="130"/>
      <c r="Z72" s="131"/>
      <c r="AA72" s="1"/>
      <c r="AB72" s="85"/>
      <c r="AC72" s="31"/>
      <c r="AD72" s="31"/>
      <c r="AE72" s="31"/>
      <c r="AF72" s="31"/>
      <c r="AG72" s="31"/>
      <c r="AH72" s="32"/>
      <c r="AI72" s="33"/>
      <c r="AJ72" s="34"/>
      <c r="AK72" s="31"/>
      <c r="AL72" s="31"/>
      <c r="AM72" s="31"/>
    </row>
    <row r="73" customFormat="false" ht="30" hidden="false" customHeight="true" outlineLevel="0" collapsed="false">
      <c r="B73" s="81"/>
      <c r="C73" s="82"/>
      <c r="D73" s="56" t="n">
        <f aca="false">D72+1</f>
        <v>14</v>
      </c>
      <c r="E73" s="125"/>
      <c r="F73" s="125"/>
      <c r="G73" s="125"/>
      <c r="H73" s="125"/>
      <c r="I73" s="125"/>
      <c r="J73" s="125"/>
      <c r="K73" s="57"/>
      <c r="L73" s="128"/>
      <c r="M73" s="56"/>
      <c r="N73" s="56"/>
      <c r="O73" s="56"/>
      <c r="P73" s="56"/>
      <c r="Q73" s="56"/>
      <c r="R73" s="56"/>
      <c r="S73" s="56"/>
      <c r="T73" s="56"/>
      <c r="U73" s="57"/>
      <c r="V73" s="129"/>
      <c r="W73" s="129"/>
      <c r="X73" s="97"/>
      <c r="Y73" s="130"/>
      <c r="Z73" s="131"/>
      <c r="AA73" s="1"/>
      <c r="AB73" s="85"/>
      <c r="AC73" s="31"/>
      <c r="AD73" s="31"/>
      <c r="AE73" s="31"/>
      <c r="AF73" s="31"/>
      <c r="AG73" s="31"/>
      <c r="AH73" s="32"/>
      <c r="AI73" s="33"/>
      <c r="AJ73" s="34"/>
      <c r="AK73" s="31"/>
      <c r="AL73" s="31"/>
      <c r="AM73" s="31"/>
    </row>
    <row r="74" customFormat="false" ht="30" hidden="false" customHeight="true" outlineLevel="0" collapsed="false">
      <c r="B74" s="81"/>
      <c r="C74" s="82"/>
      <c r="D74" s="56" t="n">
        <f aca="false">D73+1</f>
        <v>15</v>
      </c>
      <c r="E74" s="125"/>
      <c r="F74" s="125"/>
      <c r="G74" s="125"/>
      <c r="H74" s="125"/>
      <c r="I74" s="125"/>
      <c r="J74" s="125"/>
      <c r="K74" s="57"/>
      <c r="L74" s="128"/>
      <c r="M74" s="56"/>
      <c r="N74" s="56"/>
      <c r="O74" s="56"/>
      <c r="P74" s="56"/>
      <c r="Q74" s="56"/>
      <c r="R74" s="56"/>
      <c r="S74" s="56"/>
      <c r="T74" s="56"/>
      <c r="U74" s="57"/>
      <c r="V74" s="129"/>
      <c r="W74" s="129"/>
      <c r="X74" s="97"/>
      <c r="Y74" s="130"/>
      <c r="Z74" s="131"/>
      <c r="AA74" s="1"/>
      <c r="AB74" s="85"/>
      <c r="AC74" s="31"/>
      <c r="AD74" s="31"/>
      <c r="AE74" s="31"/>
      <c r="AF74" s="31"/>
      <c r="AG74" s="31"/>
      <c r="AH74" s="32"/>
      <c r="AI74" s="33"/>
      <c r="AJ74" s="34"/>
      <c r="AK74" s="31"/>
      <c r="AL74" s="31"/>
      <c r="AM74" s="31"/>
    </row>
    <row r="75" customFormat="false" ht="30" hidden="false" customHeight="true" outlineLevel="0" collapsed="false">
      <c r="B75" s="81"/>
      <c r="C75" s="82"/>
      <c r="D75" s="56" t="n">
        <f aca="false">D74+1</f>
        <v>16</v>
      </c>
      <c r="E75" s="125"/>
      <c r="F75" s="125"/>
      <c r="G75" s="125"/>
      <c r="H75" s="125"/>
      <c r="I75" s="125"/>
      <c r="J75" s="125"/>
      <c r="K75" s="55"/>
      <c r="L75" s="55"/>
      <c r="M75" s="56"/>
      <c r="N75" s="56"/>
      <c r="O75" s="56"/>
      <c r="P75" s="56"/>
      <c r="Q75" s="56"/>
      <c r="R75" s="56"/>
      <c r="S75" s="56"/>
      <c r="T75" s="56"/>
      <c r="U75" s="57"/>
      <c r="V75" s="57"/>
      <c r="W75" s="57"/>
      <c r="X75" s="127"/>
      <c r="Y75" s="127"/>
      <c r="Z75" s="127"/>
      <c r="AA75" s="1"/>
      <c r="AB75" s="85"/>
      <c r="AC75" s="31"/>
      <c r="AD75" s="31"/>
      <c r="AE75" s="31"/>
      <c r="AF75" s="31"/>
      <c r="AG75" s="31"/>
      <c r="AH75" s="32"/>
      <c r="AI75" s="33"/>
      <c r="AJ75" s="34"/>
      <c r="AK75" s="31"/>
      <c r="AL75" s="31"/>
      <c r="AM75" s="31"/>
    </row>
    <row r="76" customFormat="false" ht="30" hidden="false" customHeight="true" outlineLevel="0" collapsed="false">
      <c r="B76" s="81"/>
      <c r="C76" s="82"/>
      <c r="D76" s="56" t="n">
        <f aca="false">D75+1</f>
        <v>17</v>
      </c>
      <c r="E76" s="125"/>
      <c r="F76" s="125"/>
      <c r="G76" s="125"/>
      <c r="H76" s="125"/>
      <c r="I76" s="125"/>
      <c r="J76" s="125"/>
      <c r="K76" s="55"/>
      <c r="L76" s="55"/>
      <c r="M76" s="56"/>
      <c r="N76" s="56"/>
      <c r="O76" s="56"/>
      <c r="P76" s="56"/>
      <c r="Q76" s="56"/>
      <c r="R76" s="56"/>
      <c r="S76" s="56"/>
      <c r="T76" s="56"/>
      <c r="U76" s="57"/>
      <c r="V76" s="57"/>
      <c r="W76" s="57"/>
      <c r="X76" s="127"/>
      <c r="Y76" s="127"/>
      <c r="Z76" s="127"/>
      <c r="AA76" s="1"/>
      <c r="AB76" s="85"/>
      <c r="AC76" s="31"/>
      <c r="AD76" s="31"/>
      <c r="AE76" s="31"/>
      <c r="AF76" s="31"/>
      <c r="AG76" s="31"/>
      <c r="AH76" s="32"/>
      <c r="AI76" s="33"/>
      <c r="AJ76" s="34"/>
      <c r="AK76" s="31"/>
      <c r="AL76" s="31"/>
      <c r="AM76" s="31"/>
    </row>
    <row r="77" customFormat="false" ht="30" hidden="false" customHeight="true" outlineLevel="0" collapsed="false">
      <c r="B77" s="81"/>
      <c r="C77" s="82"/>
      <c r="D77" s="56" t="n">
        <f aca="false">D76+1</f>
        <v>18</v>
      </c>
      <c r="E77" s="125"/>
      <c r="F77" s="125"/>
      <c r="G77" s="125"/>
      <c r="H77" s="125"/>
      <c r="I77" s="125"/>
      <c r="J77" s="125"/>
      <c r="K77" s="55"/>
      <c r="L77" s="55"/>
      <c r="M77" s="56"/>
      <c r="N77" s="56"/>
      <c r="O77" s="56"/>
      <c r="P77" s="56"/>
      <c r="Q77" s="56"/>
      <c r="R77" s="56"/>
      <c r="S77" s="56"/>
      <c r="T77" s="56"/>
      <c r="U77" s="57"/>
      <c r="V77" s="57"/>
      <c r="W77" s="57"/>
      <c r="X77" s="127"/>
      <c r="Y77" s="127"/>
      <c r="Z77" s="127"/>
      <c r="AA77" s="1"/>
      <c r="AB77" s="85"/>
      <c r="AC77" s="31"/>
      <c r="AD77" s="31"/>
      <c r="AE77" s="31"/>
      <c r="AF77" s="31"/>
      <c r="AG77" s="31"/>
      <c r="AH77" s="32"/>
      <c r="AI77" s="33"/>
      <c r="AJ77" s="34"/>
      <c r="AK77" s="31"/>
      <c r="AL77" s="31"/>
      <c r="AM77" s="31"/>
    </row>
    <row r="78" customFormat="false" ht="30" hidden="false" customHeight="true" outlineLevel="0" collapsed="false">
      <c r="B78" s="81"/>
      <c r="C78" s="82"/>
      <c r="D78" s="56" t="n">
        <f aca="false">D77+1</f>
        <v>19</v>
      </c>
      <c r="E78" s="125"/>
      <c r="F78" s="125"/>
      <c r="G78" s="125"/>
      <c r="H78" s="125"/>
      <c r="I78" s="125"/>
      <c r="J78" s="125"/>
      <c r="K78" s="55"/>
      <c r="L78" s="55"/>
      <c r="M78" s="56"/>
      <c r="N78" s="56"/>
      <c r="O78" s="56"/>
      <c r="P78" s="56"/>
      <c r="Q78" s="56"/>
      <c r="R78" s="56"/>
      <c r="S78" s="56"/>
      <c r="T78" s="56"/>
      <c r="U78" s="57"/>
      <c r="V78" s="57"/>
      <c r="W78" s="57"/>
      <c r="X78" s="127"/>
      <c r="Y78" s="127"/>
      <c r="Z78" s="127"/>
      <c r="AA78" s="1"/>
      <c r="AB78" s="85"/>
      <c r="AC78" s="31"/>
      <c r="AD78" s="31"/>
      <c r="AE78" s="31"/>
      <c r="AF78" s="31"/>
      <c r="AG78" s="31"/>
      <c r="AH78" s="32"/>
      <c r="AI78" s="33"/>
      <c r="AJ78" s="34"/>
      <c r="AK78" s="31"/>
      <c r="AL78" s="31"/>
      <c r="AM78" s="31"/>
    </row>
    <row r="79" customFormat="false" ht="30" hidden="false" customHeight="true" outlineLevel="0" collapsed="false">
      <c r="B79" s="81"/>
      <c r="C79" s="82"/>
      <c r="D79" s="56" t="n">
        <f aca="false">D78+1</f>
        <v>20</v>
      </c>
      <c r="E79" s="125"/>
      <c r="F79" s="125"/>
      <c r="G79" s="125"/>
      <c r="H79" s="125"/>
      <c r="I79" s="125"/>
      <c r="J79" s="125"/>
      <c r="K79" s="55"/>
      <c r="L79" s="55"/>
      <c r="M79" s="56"/>
      <c r="N79" s="56"/>
      <c r="O79" s="56"/>
      <c r="P79" s="56"/>
      <c r="Q79" s="56"/>
      <c r="R79" s="56"/>
      <c r="S79" s="56"/>
      <c r="T79" s="56"/>
      <c r="U79" s="57"/>
      <c r="V79" s="57"/>
      <c r="W79" s="57"/>
      <c r="X79" s="132"/>
      <c r="Y79" s="132"/>
      <c r="Z79" s="132"/>
      <c r="AA79" s="1"/>
      <c r="AB79" s="85"/>
      <c r="AC79" s="31"/>
      <c r="AD79" s="31"/>
      <c r="AE79" s="31"/>
      <c r="AF79" s="31"/>
      <c r="AG79" s="31"/>
      <c r="AH79" s="32"/>
      <c r="AI79" s="33"/>
      <c r="AJ79" s="34"/>
      <c r="AK79" s="31"/>
      <c r="AL79" s="31"/>
      <c r="AM79" s="31"/>
    </row>
    <row r="80" customFormat="false" ht="24" hidden="false" customHeight="true" outlineLevel="0" collapsed="false">
      <c r="B80" s="81"/>
      <c r="C80" s="82"/>
      <c r="D80" s="133" t="s">
        <v>138</v>
      </c>
      <c r="E80" s="133"/>
      <c r="F80" s="133"/>
      <c r="G80" s="133"/>
      <c r="H80" s="133"/>
      <c r="I80" s="133"/>
      <c r="J80" s="133"/>
      <c r="K80" s="133"/>
      <c r="L80" s="133"/>
      <c r="M80" s="133"/>
      <c r="N80" s="133"/>
      <c r="O80" s="133"/>
      <c r="P80" s="133"/>
      <c r="Q80" s="133"/>
      <c r="R80" s="133"/>
      <c r="S80" s="133"/>
      <c r="T80" s="133"/>
      <c r="U80" s="133"/>
      <c r="V80" s="133"/>
      <c r="W80" s="133"/>
      <c r="X80" s="134" t="n">
        <f aca="false">SUM(M60:P79)+SUM(Q60:T79)+SUM(U60:W79)</f>
        <v>0</v>
      </c>
      <c r="Y80" s="134"/>
      <c r="Z80" s="134"/>
      <c r="AA80" s="1"/>
      <c r="AB80" s="85"/>
      <c r="AC80" s="31"/>
      <c r="AD80" s="31"/>
      <c r="AE80" s="31"/>
      <c r="AF80" s="31"/>
      <c r="AG80" s="31"/>
      <c r="AH80" s="32"/>
      <c r="AI80" s="33"/>
      <c r="AJ80" s="34"/>
      <c r="AK80" s="31"/>
      <c r="AL80" s="31"/>
      <c r="AM80" s="31"/>
    </row>
    <row r="81" customFormat="false" ht="24" hidden="false" customHeight="true" outlineLevel="0" collapsed="false">
      <c r="B81" s="81"/>
      <c r="C81" s="82"/>
      <c r="D81" s="135" t="s">
        <v>139</v>
      </c>
      <c r="E81" s="135"/>
      <c r="F81" s="135"/>
      <c r="G81" s="135"/>
      <c r="H81" s="135"/>
      <c r="I81" s="135"/>
      <c r="J81" s="135"/>
      <c r="K81" s="126" t="s">
        <v>140</v>
      </c>
      <c r="L81" s="126"/>
      <c r="M81" s="87" t="s">
        <v>141</v>
      </c>
      <c r="N81" s="87"/>
      <c r="O81" s="87"/>
      <c r="P81" s="87"/>
      <c r="Q81" s="87"/>
      <c r="R81" s="87"/>
      <c r="S81" s="87"/>
      <c r="T81" s="87"/>
      <c r="U81" s="86" t="s">
        <v>142</v>
      </c>
      <c r="V81" s="86"/>
      <c r="W81" s="86"/>
      <c r="X81" s="136"/>
      <c r="Y81" s="137"/>
      <c r="Z81" s="138"/>
      <c r="AA81" s="1"/>
      <c r="AB81" s="85"/>
      <c r="AC81" s="31"/>
      <c r="AD81" s="31"/>
      <c r="AE81" s="31"/>
      <c r="AF81" s="31"/>
      <c r="AG81" s="31"/>
      <c r="AH81" s="32"/>
      <c r="AI81" s="33"/>
      <c r="AJ81" s="34"/>
      <c r="AK81" s="31"/>
      <c r="AL81" s="31"/>
      <c r="AM81" s="31"/>
    </row>
    <row r="82" customFormat="false" ht="60.75" hidden="false" customHeight="true" outlineLevel="0" collapsed="false">
      <c r="B82" s="81"/>
      <c r="C82" s="82"/>
      <c r="D82" s="135"/>
      <c r="E82" s="135"/>
      <c r="F82" s="135"/>
      <c r="G82" s="135"/>
      <c r="H82" s="135"/>
      <c r="I82" s="135"/>
      <c r="J82" s="135"/>
      <c r="K82" s="126"/>
      <c r="L82" s="126"/>
      <c r="M82" s="86" t="s">
        <v>143</v>
      </c>
      <c r="N82" s="86"/>
      <c r="O82" s="86"/>
      <c r="P82" s="86"/>
      <c r="Q82" s="87" t="s">
        <v>133</v>
      </c>
      <c r="R82" s="87"/>
      <c r="S82" s="87"/>
      <c r="T82" s="87"/>
      <c r="U82" s="86"/>
      <c r="V82" s="86"/>
      <c r="W82" s="86"/>
      <c r="X82" s="139"/>
      <c r="Y82" s="8"/>
      <c r="Z82" s="98"/>
      <c r="AA82" s="1"/>
      <c r="AB82" s="85"/>
      <c r="AC82" s="31"/>
      <c r="AD82" s="31"/>
      <c r="AE82" s="31"/>
      <c r="AF82" s="31"/>
      <c r="AG82" s="31"/>
      <c r="AH82" s="32"/>
      <c r="AI82" s="33"/>
      <c r="AJ82" s="34"/>
      <c r="AK82" s="31"/>
      <c r="AL82" s="31"/>
      <c r="AM82" s="31"/>
    </row>
    <row r="83" customFormat="false" ht="24" hidden="false" customHeight="true" outlineLevel="0" collapsed="false">
      <c r="B83" s="81"/>
      <c r="C83" s="82"/>
      <c r="D83" s="56" t="n">
        <v>1</v>
      </c>
      <c r="E83" s="125"/>
      <c r="F83" s="125"/>
      <c r="G83" s="125"/>
      <c r="H83" s="125"/>
      <c r="I83" s="125"/>
      <c r="J83" s="125"/>
      <c r="K83" s="55"/>
      <c r="L83" s="55"/>
      <c r="M83" s="140"/>
      <c r="N83" s="140"/>
      <c r="O83" s="140"/>
      <c r="P83" s="140"/>
      <c r="Q83" s="140"/>
      <c r="R83" s="140"/>
      <c r="S83" s="140"/>
      <c r="T83" s="140"/>
      <c r="U83" s="57"/>
      <c r="V83" s="57"/>
      <c r="W83" s="57"/>
      <c r="X83" s="139"/>
      <c r="Y83" s="8"/>
      <c r="Z83" s="98"/>
      <c r="AA83" s="1"/>
      <c r="AB83" s="85"/>
      <c r="AC83" s="31"/>
      <c r="AD83" s="31"/>
      <c r="AE83" s="31"/>
      <c r="AF83" s="31"/>
      <c r="AG83" s="31"/>
      <c r="AH83" s="32"/>
      <c r="AI83" s="33"/>
      <c r="AJ83" s="34"/>
      <c r="AK83" s="31" t="s">
        <v>79</v>
      </c>
      <c r="AL83" s="31"/>
      <c r="AM83" s="31"/>
    </row>
    <row r="84" customFormat="false" ht="24" hidden="false" customHeight="true" outlineLevel="0" collapsed="false">
      <c r="B84" s="81"/>
      <c r="C84" s="82"/>
      <c r="D84" s="56" t="n">
        <v>2</v>
      </c>
      <c r="E84" s="125"/>
      <c r="F84" s="125"/>
      <c r="G84" s="125"/>
      <c r="H84" s="125"/>
      <c r="I84" s="125"/>
      <c r="J84" s="125"/>
      <c r="K84" s="55"/>
      <c r="L84" s="55"/>
      <c r="M84" s="140"/>
      <c r="N84" s="140"/>
      <c r="O84" s="140"/>
      <c r="P84" s="140"/>
      <c r="Q84" s="140"/>
      <c r="R84" s="140"/>
      <c r="S84" s="140"/>
      <c r="T84" s="140"/>
      <c r="U84" s="57"/>
      <c r="V84" s="57"/>
      <c r="W84" s="57"/>
      <c r="X84" s="139"/>
      <c r="Y84" s="8"/>
      <c r="Z84" s="98"/>
      <c r="AA84" s="1"/>
      <c r="AB84" s="85"/>
      <c r="AC84" s="31"/>
      <c r="AD84" s="31"/>
      <c r="AE84" s="31"/>
      <c r="AF84" s="31"/>
      <c r="AG84" s="31"/>
      <c r="AH84" s="32"/>
      <c r="AI84" s="33"/>
      <c r="AJ84" s="34"/>
      <c r="AK84" s="31" t="s">
        <v>81</v>
      </c>
      <c r="AL84" s="31"/>
      <c r="AM84" s="31"/>
    </row>
    <row r="85" customFormat="false" ht="24" hidden="false" customHeight="true" outlineLevel="0" collapsed="false">
      <c r="B85" s="81"/>
      <c r="C85" s="82"/>
      <c r="D85" s="56" t="n">
        <v>3</v>
      </c>
      <c r="E85" s="125"/>
      <c r="F85" s="125"/>
      <c r="G85" s="125"/>
      <c r="H85" s="125"/>
      <c r="I85" s="125"/>
      <c r="J85" s="125"/>
      <c r="K85" s="55"/>
      <c r="L85" s="55"/>
      <c r="M85" s="140"/>
      <c r="N85" s="140"/>
      <c r="O85" s="140"/>
      <c r="P85" s="140"/>
      <c r="Q85" s="140"/>
      <c r="R85" s="140"/>
      <c r="S85" s="140"/>
      <c r="T85" s="140"/>
      <c r="U85" s="57"/>
      <c r="V85" s="57"/>
      <c r="W85" s="57"/>
      <c r="X85" s="139"/>
      <c r="Y85" s="8"/>
      <c r="Z85" s="98"/>
      <c r="AA85" s="1"/>
      <c r="AB85" s="85"/>
      <c r="AC85" s="31"/>
      <c r="AD85" s="31"/>
      <c r="AE85" s="31"/>
      <c r="AF85" s="31"/>
      <c r="AG85" s="31"/>
      <c r="AH85" s="32"/>
      <c r="AI85" s="33"/>
      <c r="AJ85" s="34"/>
      <c r="AK85" s="31" t="s">
        <v>85</v>
      </c>
      <c r="AL85" s="31"/>
      <c r="AM85" s="31"/>
    </row>
    <row r="86" customFormat="false" ht="24" hidden="false" customHeight="true" outlineLevel="0" collapsed="false">
      <c r="B86" s="81"/>
      <c r="C86" s="82"/>
      <c r="D86" s="56" t="n">
        <v>4</v>
      </c>
      <c r="E86" s="125"/>
      <c r="F86" s="125"/>
      <c r="G86" s="125"/>
      <c r="H86" s="125"/>
      <c r="I86" s="125"/>
      <c r="J86" s="125"/>
      <c r="K86" s="55"/>
      <c r="L86" s="55"/>
      <c r="M86" s="140"/>
      <c r="N86" s="140"/>
      <c r="O86" s="140"/>
      <c r="P86" s="140"/>
      <c r="Q86" s="140"/>
      <c r="R86" s="140"/>
      <c r="S86" s="140"/>
      <c r="T86" s="140"/>
      <c r="U86" s="57"/>
      <c r="V86" s="57"/>
      <c r="W86" s="57"/>
      <c r="X86" s="139"/>
      <c r="Y86" s="8"/>
      <c r="Z86" s="98"/>
      <c r="AA86" s="1"/>
      <c r="AB86" s="85"/>
      <c r="AC86" s="31"/>
      <c r="AD86" s="31"/>
      <c r="AE86" s="31"/>
      <c r="AF86" s="31"/>
      <c r="AG86" s="31"/>
      <c r="AH86" s="32"/>
      <c r="AI86" s="33"/>
      <c r="AJ86" s="34"/>
      <c r="AK86" s="31" t="s">
        <v>87</v>
      </c>
      <c r="AL86" s="31"/>
      <c r="AM86" s="31"/>
    </row>
    <row r="87" customFormat="false" ht="24" hidden="false" customHeight="true" outlineLevel="0" collapsed="false">
      <c r="B87" s="81"/>
      <c r="C87" s="82"/>
      <c r="D87" s="56" t="n">
        <v>5</v>
      </c>
      <c r="E87" s="125"/>
      <c r="F87" s="125"/>
      <c r="G87" s="125"/>
      <c r="H87" s="125"/>
      <c r="I87" s="125"/>
      <c r="J87" s="125"/>
      <c r="K87" s="55"/>
      <c r="L87" s="55"/>
      <c r="M87" s="140"/>
      <c r="N87" s="140"/>
      <c r="O87" s="140"/>
      <c r="P87" s="140"/>
      <c r="Q87" s="140"/>
      <c r="R87" s="140"/>
      <c r="S87" s="140"/>
      <c r="T87" s="140"/>
      <c r="U87" s="57"/>
      <c r="V87" s="57"/>
      <c r="W87" s="57"/>
      <c r="X87" s="141"/>
      <c r="Y87" s="101"/>
      <c r="Z87" s="102"/>
      <c r="AA87" s="1"/>
      <c r="AB87" s="85"/>
      <c r="AC87" s="31"/>
      <c r="AD87" s="31"/>
      <c r="AE87" s="31"/>
      <c r="AF87" s="31"/>
      <c r="AG87" s="31"/>
      <c r="AH87" s="32"/>
      <c r="AI87" s="33"/>
      <c r="AJ87" s="34"/>
      <c r="AK87" s="31" t="s">
        <v>89</v>
      </c>
      <c r="AL87" s="31"/>
      <c r="AM87" s="31"/>
    </row>
    <row r="88" customFormat="false" ht="24" hidden="false" customHeight="true" outlineLevel="0" collapsed="false">
      <c r="B88" s="81"/>
      <c r="C88" s="82"/>
      <c r="D88" s="133" t="s">
        <v>138</v>
      </c>
      <c r="E88" s="133"/>
      <c r="F88" s="133"/>
      <c r="G88" s="133"/>
      <c r="H88" s="133"/>
      <c r="I88" s="133"/>
      <c r="J88" s="133"/>
      <c r="K88" s="133"/>
      <c r="L88" s="133"/>
      <c r="M88" s="133"/>
      <c r="N88" s="133"/>
      <c r="O88" s="133"/>
      <c r="P88" s="133"/>
      <c r="Q88" s="133"/>
      <c r="R88" s="133"/>
      <c r="S88" s="133"/>
      <c r="T88" s="133"/>
      <c r="U88" s="133"/>
      <c r="V88" s="133"/>
      <c r="W88" s="133"/>
      <c r="X88" s="134" t="n">
        <f aca="false">SUM(M83:W87)</f>
        <v>0</v>
      </c>
      <c r="Y88" s="134"/>
      <c r="Z88" s="134"/>
      <c r="AA88" s="1"/>
      <c r="AB88" s="85"/>
      <c r="AC88" s="31"/>
      <c r="AD88" s="31"/>
      <c r="AE88" s="31"/>
      <c r="AF88" s="31"/>
      <c r="AG88" s="31"/>
      <c r="AH88" s="32"/>
      <c r="AI88" s="33"/>
      <c r="AJ88" s="34"/>
      <c r="AK88" s="31" t="s">
        <v>91</v>
      </c>
      <c r="AL88" s="31"/>
      <c r="AM88" s="31"/>
    </row>
    <row r="89" customFormat="false" ht="24" hidden="false" customHeight="true" outlineLevel="0" collapsed="false">
      <c r="B89" s="81"/>
      <c r="C89" s="82"/>
      <c r="D89" s="135" t="s">
        <v>144</v>
      </c>
      <c r="E89" s="135"/>
      <c r="F89" s="135"/>
      <c r="G89" s="135"/>
      <c r="H89" s="135"/>
      <c r="I89" s="135"/>
      <c r="J89" s="135"/>
      <c r="K89" s="126" t="s">
        <v>140</v>
      </c>
      <c r="L89" s="126"/>
      <c r="M89" s="87" t="s">
        <v>145</v>
      </c>
      <c r="N89" s="87"/>
      <c r="O89" s="87"/>
      <c r="P89" s="87"/>
      <c r="Q89" s="87"/>
      <c r="R89" s="87"/>
      <c r="S89" s="87"/>
      <c r="T89" s="87"/>
      <c r="U89" s="86" t="s">
        <v>142</v>
      </c>
      <c r="V89" s="86"/>
      <c r="W89" s="86"/>
      <c r="X89" s="137"/>
      <c r="Y89" s="137"/>
      <c r="Z89" s="138"/>
      <c r="AA89" s="1"/>
      <c r="AB89" s="85"/>
      <c r="AC89" s="31"/>
      <c r="AD89" s="31"/>
      <c r="AE89" s="31"/>
      <c r="AF89" s="31"/>
      <c r="AG89" s="31"/>
      <c r="AH89" s="32"/>
      <c r="AI89" s="33"/>
      <c r="AJ89" s="34"/>
      <c r="AK89" s="31" t="s">
        <v>146</v>
      </c>
      <c r="AL89" s="31"/>
      <c r="AM89" s="31"/>
    </row>
    <row r="90" customFormat="false" ht="57.75" hidden="false" customHeight="true" outlineLevel="0" collapsed="false">
      <c r="B90" s="81"/>
      <c r="C90" s="82"/>
      <c r="D90" s="135"/>
      <c r="E90" s="135"/>
      <c r="F90" s="135"/>
      <c r="G90" s="135"/>
      <c r="H90" s="135"/>
      <c r="I90" s="135"/>
      <c r="J90" s="135"/>
      <c r="K90" s="126"/>
      <c r="L90" s="126"/>
      <c r="M90" s="86" t="s">
        <v>132</v>
      </c>
      <c r="N90" s="86"/>
      <c r="O90" s="86"/>
      <c r="P90" s="86"/>
      <c r="Q90" s="87" t="s">
        <v>133</v>
      </c>
      <c r="R90" s="87"/>
      <c r="S90" s="87"/>
      <c r="T90" s="87"/>
      <c r="U90" s="86"/>
      <c r="V90" s="86"/>
      <c r="W90" s="86"/>
      <c r="X90" s="8"/>
      <c r="Y90" s="8"/>
      <c r="Z90" s="98"/>
      <c r="AA90" s="1"/>
      <c r="AB90" s="85"/>
      <c r="AC90" s="31"/>
      <c r="AD90" s="31"/>
      <c r="AE90" s="31"/>
      <c r="AF90" s="31"/>
      <c r="AG90" s="31"/>
      <c r="AH90" s="32"/>
      <c r="AI90" s="33"/>
      <c r="AJ90" s="34"/>
      <c r="AL90" s="31"/>
      <c r="AM90" s="31"/>
    </row>
    <row r="91" customFormat="false" ht="24" hidden="false" customHeight="true" outlineLevel="0" collapsed="false">
      <c r="B91" s="81"/>
      <c r="C91" s="82"/>
      <c r="D91" s="56" t="n">
        <v>1</v>
      </c>
      <c r="E91" s="125"/>
      <c r="F91" s="125"/>
      <c r="G91" s="125"/>
      <c r="H91" s="125"/>
      <c r="I91" s="125"/>
      <c r="J91" s="125"/>
      <c r="K91" s="55"/>
      <c r="L91" s="55"/>
      <c r="M91" s="140"/>
      <c r="N91" s="140"/>
      <c r="O91" s="140"/>
      <c r="P91" s="140"/>
      <c r="Q91" s="140"/>
      <c r="R91" s="140"/>
      <c r="S91" s="140"/>
      <c r="T91" s="140"/>
      <c r="U91" s="142"/>
      <c r="V91" s="142"/>
      <c r="W91" s="142"/>
      <c r="X91" s="139"/>
      <c r="Y91" s="8"/>
      <c r="Z91" s="98"/>
      <c r="AA91" s="1"/>
      <c r="AB91" s="85"/>
      <c r="AC91" s="31"/>
      <c r="AD91" s="31"/>
      <c r="AE91" s="31"/>
      <c r="AF91" s="31"/>
      <c r="AG91" s="31"/>
      <c r="AH91" s="32"/>
      <c r="AI91" s="33"/>
      <c r="AJ91" s="34"/>
      <c r="AK91" s="31"/>
      <c r="AL91" s="31"/>
      <c r="AM91" s="31"/>
    </row>
    <row r="92" customFormat="false" ht="24" hidden="false" customHeight="true" outlineLevel="0" collapsed="false">
      <c r="B92" s="81"/>
      <c r="C92" s="82"/>
      <c r="D92" s="56" t="n">
        <v>2</v>
      </c>
      <c r="E92" s="125"/>
      <c r="F92" s="125"/>
      <c r="G92" s="125"/>
      <c r="H92" s="125"/>
      <c r="I92" s="125"/>
      <c r="J92" s="125"/>
      <c r="K92" s="55"/>
      <c r="L92" s="55"/>
      <c r="M92" s="140"/>
      <c r="N92" s="140"/>
      <c r="O92" s="140"/>
      <c r="P92" s="140"/>
      <c r="Q92" s="140"/>
      <c r="R92" s="140"/>
      <c r="S92" s="140"/>
      <c r="T92" s="140"/>
      <c r="U92" s="57"/>
      <c r="V92" s="57"/>
      <c r="W92" s="57"/>
      <c r="X92" s="139"/>
      <c r="Y92" s="8"/>
      <c r="Z92" s="98"/>
      <c r="AA92" s="1"/>
      <c r="AB92" s="85"/>
      <c r="AC92" s="31"/>
      <c r="AD92" s="31"/>
      <c r="AE92" s="31"/>
      <c r="AF92" s="31"/>
      <c r="AG92" s="31"/>
      <c r="AH92" s="32"/>
      <c r="AI92" s="33"/>
      <c r="AJ92" s="34"/>
      <c r="AK92" s="31" t="s">
        <v>83</v>
      </c>
      <c r="AL92" s="31"/>
      <c r="AM92" s="31"/>
    </row>
    <row r="93" customFormat="false" ht="24" hidden="false" customHeight="true" outlineLevel="0" collapsed="false">
      <c r="B93" s="81"/>
      <c r="C93" s="82"/>
      <c r="D93" s="56" t="n">
        <v>3</v>
      </c>
      <c r="E93" s="125"/>
      <c r="F93" s="125"/>
      <c r="G93" s="125"/>
      <c r="H93" s="125"/>
      <c r="I93" s="125"/>
      <c r="J93" s="125"/>
      <c r="K93" s="55"/>
      <c r="L93" s="55"/>
      <c r="M93" s="140"/>
      <c r="N93" s="140"/>
      <c r="O93" s="140"/>
      <c r="P93" s="140"/>
      <c r="Q93" s="140"/>
      <c r="R93" s="140"/>
      <c r="S93" s="140"/>
      <c r="T93" s="140"/>
      <c r="U93" s="57"/>
      <c r="V93" s="57"/>
      <c r="W93" s="57"/>
      <c r="X93" s="139"/>
      <c r="Y93" s="8"/>
      <c r="Z93" s="98"/>
      <c r="AA93" s="1"/>
      <c r="AB93" s="85"/>
      <c r="AC93" s="31"/>
      <c r="AD93" s="31"/>
      <c r="AE93" s="31"/>
      <c r="AF93" s="31"/>
      <c r="AG93" s="31"/>
      <c r="AH93" s="32"/>
      <c r="AI93" s="33"/>
      <c r="AJ93" s="34"/>
      <c r="AK93" s="31" t="s">
        <v>96</v>
      </c>
      <c r="AL93" s="31"/>
      <c r="AM93" s="31"/>
    </row>
    <row r="94" customFormat="false" ht="24" hidden="false" customHeight="true" outlineLevel="0" collapsed="false">
      <c r="B94" s="81"/>
      <c r="C94" s="82"/>
      <c r="D94" s="56" t="n">
        <v>4</v>
      </c>
      <c r="E94" s="125"/>
      <c r="F94" s="125"/>
      <c r="G94" s="125"/>
      <c r="H94" s="125"/>
      <c r="I94" s="125"/>
      <c r="J94" s="125"/>
      <c r="K94" s="55"/>
      <c r="L94" s="55"/>
      <c r="M94" s="140"/>
      <c r="N94" s="140"/>
      <c r="O94" s="140"/>
      <c r="P94" s="140"/>
      <c r="Q94" s="140"/>
      <c r="R94" s="140"/>
      <c r="S94" s="140"/>
      <c r="T94" s="140"/>
      <c r="U94" s="57"/>
      <c r="V94" s="57"/>
      <c r="W94" s="57"/>
      <c r="X94" s="139"/>
      <c r="Y94" s="8"/>
      <c r="Z94" s="98"/>
      <c r="AA94" s="1"/>
      <c r="AB94" s="85"/>
      <c r="AC94" s="31"/>
      <c r="AD94" s="31"/>
      <c r="AE94" s="31"/>
      <c r="AF94" s="31"/>
      <c r="AG94" s="31"/>
      <c r="AH94" s="32"/>
      <c r="AI94" s="33"/>
      <c r="AJ94" s="34"/>
      <c r="AK94" s="31" t="s">
        <v>98</v>
      </c>
      <c r="AL94" s="31"/>
      <c r="AM94" s="31"/>
    </row>
    <row r="95" customFormat="false" ht="24" hidden="false" customHeight="true" outlineLevel="0" collapsed="false">
      <c r="B95" s="81"/>
      <c r="C95" s="82"/>
      <c r="D95" s="56" t="n">
        <v>5</v>
      </c>
      <c r="E95" s="125"/>
      <c r="F95" s="125"/>
      <c r="G95" s="125"/>
      <c r="H95" s="125"/>
      <c r="I95" s="125"/>
      <c r="J95" s="125"/>
      <c r="K95" s="55"/>
      <c r="L95" s="55"/>
      <c r="M95" s="140"/>
      <c r="N95" s="140"/>
      <c r="O95" s="140"/>
      <c r="P95" s="140"/>
      <c r="Q95" s="140"/>
      <c r="R95" s="140"/>
      <c r="S95" s="140"/>
      <c r="T95" s="140"/>
      <c r="U95" s="57"/>
      <c r="V95" s="57"/>
      <c r="W95" s="57"/>
      <c r="X95" s="139"/>
      <c r="Y95" s="8"/>
      <c r="Z95" s="98"/>
      <c r="AA95" s="1"/>
      <c r="AB95" s="85"/>
      <c r="AC95" s="31"/>
      <c r="AD95" s="31"/>
      <c r="AE95" s="31"/>
      <c r="AF95" s="31"/>
      <c r="AG95" s="31"/>
      <c r="AH95" s="32"/>
      <c r="AI95" s="33"/>
      <c r="AJ95" s="34"/>
      <c r="AK95" s="31" t="s">
        <v>147</v>
      </c>
      <c r="AL95" s="31"/>
      <c r="AM95" s="31"/>
    </row>
    <row r="96" customFormat="false" ht="24" hidden="false" customHeight="true" outlineLevel="0" collapsed="false">
      <c r="B96" s="81"/>
      <c r="C96" s="82"/>
      <c r="D96" s="143" t="s">
        <v>138</v>
      </c>
      <c r="E96" s="143"/>
      <c r="F96" s="143"/>
      <c r="G96" s="143"/>
      <c r="H96" s="143"/>
      <c r="I96" s="143"/>
      <c r="J96" s="143"/>
      <c r="K96" s="143"/>
      <c r="L96" s="143"/>
      <c r="M96" s="143"/>
      <c r="N96" s="143"/>
      <c r="O96" s="143"/>
      <c r="P96" s="143"/>
      <c r="Q96" s="143"/>
      <c r="R96" s="143"/>
      <c r="S96" s="143"/>
      <c r="T96" s="143"/>
      <c r="U96" s="143"/>
      <c r="V96" s="143"/>
      <c r="W96" s="143"/>
      <c r="X96" s="144" t="n">
        <f aca="false">SUM(M91:W95)</f>
        <v>0</v>
      </c>
      <c r="Y96" s="144"/>
      <c r="Z96" s="144"/>
      <c r="AA96" s="1"/>
      <c r="AB96" s="85"/>
      <c r="AC96" s="31"/>
      <c r="AD96" s="31"/>
      <c r="AE96" s="31"/>
      <c r="AF96" s="31"/>
      <c r="AG96" s="31"/>
      <c r="AH96" s="32"/>
      <c r="AI96" s="33"/>
      <c r="AJ96" s="34"/>
      <c r="AK96" s="31"/>
      <c r="AL96" s="31"/>
      <c r="AM96" s="31"/>
    </row>
    <row r="97" customFormat="false" ht="3" hidden="false" customHeight="true" outlineLevel="0" collapsed="false">
      <c r="B97" s="81"/>
      <c r="C97" s="82"/>
      <c r="D97" s="145"/>
      <c r="E97" s="146"/>
      <c r="F97" s="146"/>
      <c r="G97" s="146"/>
      <c r="H97" s="146"/>
      <c r="I97" s="146"/>
      <c r="J97" s="146"/>
      <c r="K97" s="146"/>
      <c r="L97" s="146"/>
      <c r="M97" s="146"/>
      <c r="N97" s="146"/>
      <c r="O97" s="146"/>
      <c r="P97" s="146"/>
      <c r="Q97" s="146"/>
      <c r="R97" s="146"/>
      <c r="S97" s="146"/>
      <c r="T97" s="146"/>
      <c r="U97" s="146"/>
      <c r="V97" s="146"/>
      <c r="W97" s="147"/>
      <c r="X97" s="148"/>
      <c r="Y97" s="149"/>
      <c r="Z97" s="150"/>
      <c r="AA97" s="1"/>
      <c r="AB97" s="85"/>
      <c r="AC97" s="31"/>
      <c r="AD97" s="31"/>
      <c r="AE97" s="31"/>
      <c r="AF97" s="31"/>
      <c r="AG97" s="31"/>
      <c r="AH97" s="32"/>
      <c r="AI97" s="33"/>
      <c r="AJ97" s="34"/>
      <c r="AK97" s="31"/>
      <c r="AL97" s="31"/>
      <c r="AM97" s="31"/>
    </row>
    <row r="98" customFormat="false" ht="24" hidden="false" customHeight="true" outlineLevel="0" collapsed="false">
      <c r="B98" s="81"/>
      <c r="C98" s="82"/>
      <c r="D98" s="151" t="s">
        <v>148</v>
      </c>
      <c r="E98" s="151"/>
      <c r="F98" s="151"/>
      <c r="G98" s="151"/>
      <c r="H98" s="151"/>
      <c r="I98" s="151"/>
      <c r="J98" s="151"/>
      <c r="K98" s="151"/>
      <c r="L98" s="151"/>
      <c r="M98" s="151"/>
      <c r="N98" s="151"/>
      <c r="O98" s="151"/>
      <c r="P98" s="151"/>
      <c r="Q98" s="151"/>
      <c r="R98" s="151"/>
      <c r="S98" s="151"/>
      <c r="T98" s="151"/>
      <c r="U98" s="151"/>
      <c r="V98" s="151"/>
      <c r="W98" s="151"/>
      <c r="X98" s="152" t="n">
        <f aca="false">X88+X96</f>
        <v>0</v>
      </c>
      <c r="Y98" s="152"/>
      <c r="Z98" s="152"/>
      <c r="AA98" s="1"/>
      <c r="AB98" s="85"/>
      <c r="AC98" s="31"/>
      <c r="AD98" s="31"/>
      <c r="AE98" s="31"/>
      <c r="AF98" s="31"/>
      <c r="AG98" s="31"/>
      <c r="AH98" s="32"/>
      <c r="AI98" s="33"/>
      <c r="AJ98" s="34"/>
      <c r="AK98" s="31"/>
      <c r="AL98" s="31"/>
      <c r="AM98" s="31"/>
    </row>
    <row r="99" customFormat="false" ht="27.75" hidden="false" customHeight="true" outlineLevel="0" collapsed="false">
      <c r="B99" s="81"/>
      <c r="C99" s="82"/>
      <c r="D99" s="133" t="s">
        <v>149</v>
      </c>
      <c r="E99" s="133"/>
      <c r="F99" s="133"/>
      <c r="G99" s="133"/>
      <c r="H99" s="133"/>
      <c r="I99" s="133"/>
      <c r="J99" s="133"/>
      <c r="K99" s="133"/>
      <c r="L99" s="133"/>
      <c r="M99" s="133"/>
      <c r="N99" s="133"/>
      <c r="O99" s="133"/>
      <c r="P99" s="133"/>
      <c r="Q99" s="133"/>
      <c r="R99" s="133"/>
      <c r="S99" s="133"/>
      <c r="T99" s="133"/>
      <c r="U99" s="133"/>
      <c r="V99" s="133"/>
      <c r="W99" s="133"/>
      <c r="X99" s="153" t="n">
        <f aca="false">X98+X80</f>
        <v>0</v>
      </c>
      <c r="Y99" s="153"/>
      <c r="Z99" s="153"/>
      <c r="AA99" s="1"/>
      <c r="AB99" s="85"/>
      <c r="AC99" s="31"/>
      <c r="AD99" s="31"/>
      <c r="AE99" s="31"/>
      <c r="AF99" s="31"/>
      <c r="AG99" s="31"/>
      <c r="AH99" s="32"/>
      <c r="AI99" s="33"/>
      <c r="AJ99" s="34"/>
      <c r="AK99" s="31"/>
      <c r="AL99" s="31"/>
      <c r="AM99" s="31"/>
    </row>
    <row r="100" customFormat="false" ht="14.25" hidden="false" customHeight="true" outlineLevel="0" collapsed="false">
      <c r="B100" s="81"/>
      <c r="C100" s="82"/>
      <c r="D100" s="154" t="s">
        <v>150</v>
      </c>
      <c r="E100" s="155" t="s">
        <v>151</v>
      </c>
      <c r="F100" s="155"/>
      <c r="G100" s="155"/>
      <c r="H100" s="155"/>
      <c r="I100" s="155"/>
      <c r="J100" s="155"/>
      <c r="K100" s="155"/>
      <c r="L100" s="155"/>
      <c r="M100" s="155"/>
      <c r="N100" s="155"/>
      <c r="O100" s="155"/>
      <c r="P100" s="155"/>
      <c r="Q100" s="155"/>
      <c r="R100" s="155"/>
      <c r="S100" s="155"/>
      <c r="T100" s="155"/>
      <c r="U100" s="155"/>
      <c r="V100" s="155"/>
      <c r="W100" s="155"/>
      <c r="X100" s="156" t="str">
        <f aca="false">IFERROR(((SUM(M60:P79)+SUM(M83:P87)+SUM(M91:P95))/X99)* 100,"")</f>
        <v/>
      </c>
      <c r="Y100" s="156"/>
      <c r="Z100" s="156"/>
      <c r="AA100" s="1"/>
      <c r="AB100" s="85"/>
      <c r="AC100" s="31"/>
      <c r="AD100" s="31"/>
      <c r="AE100" s="31"/>
      <c r="AF100" s="31"/>
      <c r="AG100" s="31"/>
      <c r="AH100" s="32"/>
      <c r="AI100" s="33"/>
      <c r="AJ100" s="34"/>
      <c r="AK100" s="31"/>
      <c r="AL100" s="31"/>
      <c r="AM100" s="31"/>
    </row>
    <row r="101" customFormat="false" ht="14.25" hidden="false" customHeight="true" outlineLevel="0" collapsed="false">
      <c r="B101" s="81"/>
      <c r="C101" s="82"/>
      <c r="D101" s="154"/>
      <c r="E101" s="155"/>
      <c r="F101" s="155"/>
      <c r="G101" s="155"/>
      <c r="H101" s="155"/>
      <c r="I101" s="155"/>
      <c r="J101" s="155"/>
      <c r="K101" s="155"/>
      <c r="L101" s="155"/>
      <c r="M101" s="155"/>
      <c r="N101" s="155"/>
      <c r="O101" s="155"/>
      <c r="P101" s="155"/>
      <c r="Q101" s="155"/>
      <c r="R101" s="155"/>
      <c r="S101" s="155"/>
      <c r="T101" s="155"/>
      <c r="U101" s="155"/>
      <c r="V101" s="155"/>
      <c r="W101" s="155"/>
      <c r="X101" s="156"/>
      <c r="Y101" s="156"/>
      <c r="Z101" s="156"/>
      <c r="AA101" s="1"/>
      <c r="AB101" s="85"/>
      <c r="AC101" s="31"/>
      <c r="AD101" s="31"/>
      <c r="AE101" s="31"/>
      <c r="AF101" s="31"/>
      <c r="AG101" s="31"/>
      <c r="AH101" s="32"/>
      <c r="AI101" s="33"/>
      <c r="AJ101" s="34"/>
      <c r="AK101" s="31"/>
      <c r="AL101" s="31"/>
      <c r="AM101" s="31"/>
    </row>
    <row r="102" customFormat="false" ht="30" hidden="false" customHeight="true" outlineLevel="0" collapsed="false">
      <c r="B102" s="81"/>
      <c r="C102" s="82"/>
      <c r="D102" s="154" t="s">
        <v>152</v>
      </c>
      <c r="E102" s="151" t="s">
        <v>153</v>
      </c>
      <c r="F102" s="151"/>
      <c r="G102" s="151"/>
      <c r="H102" s="151"/>
      <c r="I102" s="151"/>
      <c r="J102" s="151"/>
      <c r="K102" s="151"/>
      <c r="L102" s="151"/>
      <c r="M102" s="151"/>
      <c r="N102" s="151"/>
      <c r="O102" s="151"/>
      <c r="P102" s="151"/>
      <c r="Q102" s="151"/>
      <c r="R102" s="151"/>
      <c r="S102" s="151"/>
      <c r="T102" s="151"/>
      <c r="U102" s="151"/>
      <c r="V102" s="151"/>
      <c r="W102" s="151"/>
      <c r="X102" s="157" t="str">
        <f aca="false">IFERROR((SUM(Q60:W79)+SUM(Q83:W87) + SUM(Q91:W95))/X99 * 100,"")</f>
        <v/>
      </c>
      <c r="Y102" s="157"/>
      <c r="Z102" s="157"/>
      <c r="AA102" s="1"/>
      <c r="AB102" s="85"/>
      <c r="AC102" s="31"/>
      <c r="AD102" s="31"/>
      <c r="AE102" s="31"/>
      <c r="AF102" s="31"/>
      <c r="AG102" s="31"/>
      <c r="AH102" s="32"/>
      <c r="AI102" s="33"/>
      <c r="AJ102" s="34"/>
      <c r="AK102" s="31"/>
      <c r="AL102" s="31"/>
      <c r="AM102" s="31"/>
    </row>
    <row r="103" customFormat="false" ht="26.25" hidden="false" customHeight="true" outlineLevel="0" collapsed="false">
      <c r="B103" s="81"/>
      <c r="C103" s="82"/>
      <c r="D103" s="154" t="s">
        <v>154</v>
      </c>
      <c r="E103" s="151" t="s">
        <v>155</v>
      </c>
      <c r="F103" s="151"/>
      <c r="G103" s="151"/>
      <c r="H103" s="151"/>
      <c r="I103" s="151"/>
      <c r="J103" s="151"/>
      <c r="K103" s="151"/>
      <c r="L103" s="151"/>
      <c r="M103" s="151"/>
      <c r="N103" s="151"/>
      <c r="O103" s="151"/>
      <c r="P103" s="151"/>
      <c r="Q103" s="151"/>
      <c r="R103" s="151"/>
      <c r="S103" s="151"/>
      <c r="T103" s="151"/>
      <c r="U103" s="151"/>
      <c r="V103" s="151"/>
      <c r="W103" s="151"/>
      <c r="X103" s="158" t="str">
        <f aca="false">IFERROR(X104+X105,"")</f>
        <v/>
      </c>
      <c r="Y103" s="158"/>
      <c r="Z103" s="158"/>
      <c r="AA103" s="1"/>
      <c r="AB103" s="85"/>
      <c r="AC103" s="31"/>
      <c r="AD103" s="31"/>
      <c r="AE103" s="31"/>
      <c r="AF103" s="31"/>
      <c r="AG103" s="31"/>
      <c r="AH103" s="32"/>
      <c r="AI103" s="33"/>
      <c r="AJ103" s="34"/>
      <c r="AK103" s="31"/>
      <c r="AL103" s="31"/>
      <c r="AM103" s="31"/>
    </row>
    <row r="104" customFormat="false" ht="26.25" hidden="false" customHeight="true" outlineLevel="0" collapsed="false">
      <c r="B104" s="81"/>
      <c r="C104" s="82"/>
      <c r="D104" s="159" t="s">
        <v>111</v>
      </c>
      <c r="E104" s="160" t="s">
        <v>156</v>
      </c>
      <c r="F104" s="160"/>
      <c r="G104" s="160"/>
      <c r="H104" s="160"/>
      <c r="I104" s="160"/>
      <c r="J104" s="160"/>
      <c r="K104" s="160"/>
      <c r="L104" s="160"/>
      <c r="M104" s="160"/>
      <c r="N104" s="160"/>
      <c r="O104" s="160"/>
      <c r="P104" s="160"/>
      <c r="Q104" s="160"/>
      <c r="R104" s="160"/>
      <c r="S104" s="160"/>
      <c r="T104" s="160"/>
      <c r="U104" s="160"/>
      <c r="V104" s="160"/>
      <c r="W104" s="160"/>
      <c r="X104" s="158" t="str">
        <f aca="false">IFERROR(SUM(O60:O79)/X99*100,"")</f>
        <v/>
      </c>
      <c r="Y104" s="158"/>
      <c r="Z104" s="158"/>
      <c r="AA104" s="1"/>
      <c r="AB104" s="85"/>
      <c r="AC104" s="31"/>
      <c r="AD104" s="31"/>
      <c r="AE104" s="31"/>
      <c r="AF104" s="31"/>
      <c r="AG104" s="31"/>
      <c r="AH104" s="32"/>
      <c r="AI104" s="33"/>
      <c r="AJ104" s="34"/>
      <c r="AK104" s="31"/>
      <c r="AL104" s="31"/>
      <c r="AM104" s="31"/>
    </row>
    <row r="105" customFormat="false" ht="26.25" hidden="false" customHeight="true" outlineLevel="0" collapsed="false">
      <c r="B105" s="81"/>
      <c r="C105" s="82"/>
      <c r="D105" s="161" t="s">
        <v>112</v>
      </c>
      <c r="E105" s="162" t="s">
        <v>157</v>
      </c>
      <c r="F105" s="162"/>
      <c r="G105" s="162"/>
      <c r="H105" s="162"/>
      <c r="I105" s="162"/>
      <c r="J105" s="162"/>
      <c r="K105" s="162"/>
      <c r="L105" s="162"/>
      <c r="M105" s="162"/>
      <c r="N105" s="162"/>
      <c r="O105" s="162"/>
      <c r="P105" s="162"/>
      <c r="Q105" s="162"/>
      <c r="R105" s="162"/>
      <c r="S105" s="162"/>
      <c r="T105" s="162"/>
      <c r="U105" s="162"/>
      <c r="V105" s="162"/>
      <c r="W105" s="162"/>
      <c r="X105" s="158" t="str">
        <f aca="false">IFERROR(SUM(S60:S79)/X99*100,"")</f>
        <v/>
      </c>
      <c r="Y105" s="158"/>
      <c r="Z105" s="158"/>
      <c r="AA105" s="1"/>
      <c r="AB105" s="85"/>
      <c r="AC105" s="31"/>
      <c r="AD105" s="31"/>
      <c r="AE105" s="31"/>
      <c r="AF105" s="31"/>
      <c r="AG105" s="31"/>
      <c r="AH105" s="32"/>
      <c r="AI105" s="33"/>
      <c r="AJ105" s="34"/>
      <c r="AK105" s="31"/>
      <c r="AL105" s="31"/>
      <c r="AM105" s="31"/>
    </row>
    <row r="106" customFormat="false" ht="16.5" hidden="false" customHeight="true" outlineLevel="0" collapsed="false">
      <c r="B106" s="81"/>
      <c r="C106" s="82"/>
      <c r="D106" s="163"/>
      <c r="E106" s="164"/>
      <c r="F106" s="164"/>
      <c r="G106" s="164"/>
      <c r="H106" s="164"/>
      <c r="I106" s="164"/>
      <c r="J106" s="164"/>
      <c r="K106" s="164"/>
      <c r="L106" s="164"/>
      <c r="M106" s="164"/>
      <c r="N106" s="164"/>
      <c r="O106" s="164"/>
      <c r="P106" s="164"/>
      <c r="Q106" s="164"/>
      <c r="R106" s="164"/>
      <c r="S106" s="164"/>
      <c r="T106" s="164"/>
      <c r="U106" s="164"/>
      <c r="V106" s="164"/>
      <c r="W106" s="164"/>
      <c r="X106" s="165"/>
      <c r="Y106" s="165"/>
      <c r="Z106" s="165" t="str">
        <f aca="false">IFERROR(X102+X104,"")</f>
        <v/>
      </c>
      <c r="AA106" s="1"/>
      <c r="AB106" s="85"/>
      <c r="AC106" s="31"/>
      <c r="AD106" s="31"/>
      <c r="AE106" s="31"/>
      <c r="AF106" s="31"/>
      <c r="AG106" s="31"/>
      <c r="AH106" s="32"/>
      <c r="AI106" s="33"/>
      <c r="AJ106" s="34"/>
      <c r="AK106" s="31"/>
      <c r="AL106" s="31"/>
      <c r="AM106" s="31"/>
    </row>
    <row r="107" customFormat="false" ht="34.5" hidden="false" customHeight="true" outlineLevel="0" collapsed="false">
      <c r="B107" s="81"/>
      <c r="C107" s="82"/>
      <c r="D107" s="166" t="s">
        <v>158</v>
      </c>
      <c r="E107" s="166"/>
      <c r="F107" s="166"/>
      <c r="G107" s="166"/>
      <c r="H107" s="166"/>
      <c r="I107" s="166"/>
      <c r="J107" s="166"/>
      <c r="K107" s="166"/>
      <c r="L107" s="166"/>
      <c r="M107" s="166"/>
      <c r="N107" s="166"/>
      <c r="O107" s="166"/>
      <c r="P107" s="166"/>
      <c r="Q107" s="166"/>
      <c r="R107" s="166"/>
      <c r="S107" s="166"/>
      <c r="T107" s="166"/>
      <c r="U107" s="166"/>
      <c r="V107" s="166"/>
      <c r="W107" s="166"/>
      <c r="X107" s="167"/>
      <c r="Y107" s="167"/>
      <c r="Z107" s="167"/>
      <c r="AA107" s="1"/>
      <c r="AB107" s="85"/>
      <c r="AC107" s="31"/>
      <c r="AD107" s="31"/>
      <c r="AE107" s="31"/>
      <c r="AF107" s="31"/>
      <c r="AG107" s="31"/>
      <c r="AH107" s="32"/>
      <c r="AI107" s="33"/>
      <c r="AJ107" s="34"/>
      <c r="AK107" s="31"/>
      <c r="AL107" s="31"/>
      <c r="AM107" s="31"/>
    </row>
    <row r="108" customFormat="false" ht="24" hidden="false" customHeight="true" outlineLevel="0" collapsed="false">
      <c r="B108" s="81"/>
      <c r="C108" s="82"/>
      <c r="D108" s="168" t="s">
        <v>159</v>
      </c>
      <c r="E108" s="169"/>
      <c r="F108" s="169"/>
      <c r="G108" s="169"/>
      <c r="H108" s="169"/>
      <c r="I108" s="169"/>
      <c r="J108" s="169"/>
      <c r="K108" s="169"/>
      <c r="L108" s="169"/>
      <c r="M108" s="169"/>
      <c r="N108" s="169"/>
      <c r="O108" s="169"/>
      <c r="P108" s="169"/>
      <c r="Q108" s="169"/>
      <c r="R108" s="169"/>
      <c r="S108" s="169"/>
      <c r="T108" s="169"/>
      <c r="U108" s="169"/>
      <c r="V108" s="169"/>
      <c r="W108" s="169"/>
      <c r="X108" s="170"/>
      <c r="Y108" s="169"/>
      <c r="Z108" s="171"/>
      <c r="AA108" s="1"/>
      <c r="AB108" s="85"/>
      <c r="AC108" s="31"/>
      <c r="AD108" s="31"/>
      <c r="AE108" s="31"/>
      <c r="AF108" s="31"/>
      <c r="AG108" s="31"/>
      <c r="AH108" s="32"/>
      <c r="AI108" s="33"/>
      <c r="AJ108" s="34"/>
      <c r="AK108" s="31"/>
      <c r="AL108" s="31"/>
      <c r="AM108" s="31"/>
    </row>
    <row r="109" customFormat="false" ht="14.25" hidden="false" customHeight="true" outlineLevel="0" collapsed="false">
      <c r="B109" s="81"/>
      <c r="C109" s="82"/>
      <c r="D109" s="106" t="s">
        <v>160</v>
      </c>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
      <c r="AB109" s="85"/>
      <c r="AC109" s="31"/>
      <c r="AD109" s="31"/>
      <c r="AE109" s="31"/>
      <c r="AF109" s="31"/>
      <c r="AG109" s="31"/>
      <c r="AH109" s="32"/>
      <c r="AI109" s="33"/>
      <c r="AJ109" s="34"/>
      <c r="AK109" s="31"/>
      <c r="AL109" s="31"/>
      <c r="AM109" s="31"/>
    </row>
    <row r="110" customFormat="false" ht="27.75" hidden="false" customHeight="true" outlineLevel="0" collapsed="false">
      <c r="B110" s="81"/>
      <c r="C110" s="82"/>
      <c r="D110" s="106" t="s">
        <v>161</v>
      </c>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
      <c r="AB110" s="85"/>
      <c r="AC110" s="31"/>
      <c r="AD110" s="31"/>
      <c r="AE110" s="31"/>
      <c r="AF110" s="31"/>
      <c r="AG110" s="31"/>
      <c r="AH110" s="32"/>
      <c r="AI110" s="33"/>
      <c r="AJ110" s="34"/>
      <c r="AK110" s="31"/>
      <c r="AL110" s="31"/>
      <c r="AM110" s="31"/>
    </row>
    <row r="111" customFormat="false" ht="9" hidden="false" customHeight="true" outlineLevel="0" collapsed="false">
      <c r="B111" s="81"/>
      <c r="C111" s="82"/>
      <c r="D111" s="172"/>
      <c r="E111" s="172"/>
      <c r="F111" s="172"/>
      <c r="G111" s="172"/>
      <c r="H111" s="172"/>
      <c r="I111" s="172"/>
      <c r="J111" s="172"/>
      <c r="K111" s="172"/>
      <c r="L111" s="172"/>
      <c r="M111" s="172"/>
      <c r="N111" s="172"/>
      <c r="O111" s="172"/>
      <c r="P111" s="172"/>
      <c r="Q111" s="172"/>
      <c r="R111" s="172"/>
      <c r="S111" s="172"/>
      <c r="T111" s="172"/>
      <c r="U111" s="172"/>
      <c r="V111" s="172"/>
      <c r="W111" s="172"/>
      <c r="X111" s="1"/>
      <c r="Y111" s="1"/>
      <c r="Z111" s="1"/>
      <c r="AA111" s="1"/>
      <c r="AB111" s="85"/>
      <c r="AC111" s="173"/>
      <c r="AD111" s="173"/>
      <c r="AE111" s="173"/>
      <c r="AF111" s="173"/>
      <c r="AG111" s="173"/>
      <c r="AH111" s="174"/>
      <c r="AI111" s="175"/>
      <c r="AJ111" s="176"/>
      <c r="AK111" s="173"/>
      <c r="AL111" s="173"/>
      <c r="AM111" s="173"/>
    </row>
    <row r="112" customFormat="false" ht="34.5" hidden="false" customHeight="true" outlineLevel="0" collapsed="false">
      <c r="B112" s="177" t="n">
        <v>11</v>
      </c>
      <c r="C112" s="52" t="s">
        <v>162</v>
      </c>
      <c r="D112" s="52"/>
      <c r="E112" s="52"/>
      <c r="F112" s="52"/>
      <c r="G112" s="52"/>
      <c r="H112" s="52"/>
      <c r="I112" s="52"/>
      <c r="J112" s="52"/>
      <c r="K112" s="178"/>
      <c r="L112" s="178"/>
      <c r="M112" s="178"/>
      <c r="N112" s="178"/>
      <c r="O112" s="178"/>
      <c r="P112" s="178"/>
      <c r="Q112" s="178"/>
      <c r="R112" s="178"/>
      <c r="S112" s="178"/>
      <c r="T112" s="178"/>
      <c r="U112" s="178"/>
      <c r="V112" s="178"/>
      <c r="W112" s="178"/>
      <c r="X112" s="178"/>
      <c r="Y112" s="178"/>
      <c r="Z112" s="178"/>
      <c r="AA112" s="178"/>
      <c r="AB112" s="178"/>
      <c r="AC112" s="173"/>
      <c r="AD112" s="173"/>
      <c r="AE112" s="173"/>
      <c r="AF112" s="173"/>
      <c r="AG112" s="179" t="s">
        <v>163</v>
      </c>
      <c r="AH112" s="174"/>
      <c r="AI112" s="175"/>
      <c r="AJ112" s="176"/>
      <c r="AK112" s="173"/>
      <c r="AL112" s="173"/>
      <c r="AM112" s="173"/>
    </row>
    <row r="113" customFormat="false" ht="39" hidden="false" customHeight="true" outlineLevel="0" collapsed="false">
      <c r="B113" s="177"/>
      <c r="C113" s="52"/>
      <c r="D113" s="52"/>
      <c r="E113" s="52"/>
      <c r="F113" s="52"/>
      <c r="G113" s="52"/>
      <c r="H113" s="52"/>
      <c r="I113" s="52"/>
      <c r="J113" s="52"/>
      <c r="K113" s="178"/>
      <c r="L113" s="178"/>
      <c r="M113" s="178"/>
      <c r="N113" s="178"/>
      <c r="O113" s="178"/>
      <c r="P113" s="178"/>
      <c r="Q113" s="178"/>
      <c r="R113" s="178"/>
      <c r="S113" s="178"/>
      <c r="T113" s="178"/>
      <c r="U113" s="178"/>
      <c r="V113" s="178"/>
      <c r="W113" s="178"/>
      <c r="X113" s="178"/>
      <c r="Y113" s="178"/>
      <c r="Z113" s="178"/>
      <c r="AA113" s="178"/>
      <c r="AB113" s="178"/>
      <c r="AC113" s="31"/>
      <c r="AD113" s="31"/>
      <c r="AE113" s="31"/>
      <c r="AF113" s="31"/>
      <c r="AG113" s="180" t="s">
        <v>164</v>
      </c>
      <c r="AH113" s="32"/>
      <c r="AI113" s="33"/>
      <c r="AJ113" s="34"/>
      <c r="AK113" s="31"/>
      <c r="AL113" s="31"/>
      <c r="AM113" s="31"/>
    </row>
    <row r="114" customFormat="false" ht="45.75" hidden="false" customHeight="true" outlineLevel="0" collapsed="false">
      <c r="B114" s="177" t="n">
        <v>12</v>
      </c>
      <c r="C114" s="52" t="s">
        <v>165</v>
      </c>
      <c r="D114" s="52"/>
      <c r="E114" s="52"/>
      <c r="F114" s="52"/>
      <c r="G114" s="52"/>
      <c r="H114" s="52"/>
      <c r="I114" s="52"/>
      <c r="J114" s="52"/>
      <c r="K114" s="178"/>
      <c r="L114" s="178"/>
      <c r="M114" s="178"/>
      <c r="N114" s="178"/>
      <c r="O114" s="178"/>
      <c r="P114" s="178"/>
      <c r="Q114" s="178"/>
      <c r="R114" s="178"/>
      <c r="S114" s="178"/>
      <c r="T114" s="178"/>
      <c r="U114" s="178"/>
      <c r="V114" s="178"/>
      <c r="W114" s="178"/>
      <c r="X114" s="178"/>
      <c r="Y114" s="178"/>
      <c r="Z114" s="178"/>
      <c r="AA114" s="178"/>
      <c r="AB114" s="178"/>
      <c r="AC114" s="31"/>
      <c r="AD114" s="31"/>
      <c r="AE114" s="31"/>
      <c r="AF114" s="31"/>
      <c r="AG114" s="180" t="s">
        <v>166</v>
      </c>
      <c r="AH114" s="32"/>
      <c r="AI114" s="33"/>
      <c r="AJ114" s="34"/>
      <c r="AK114" s="31"/>
      <c r="AL114" s="31"/>
      <c r="AM114" s="31"/>
    </row>
    <row r="115" customFormat="false" ht="14.25" hidden="false" customHeight="true" outlineLevel="0" collapsed="false">
      <c r="B115" s="177"/>
      <c r="C115" s="52"/>
      <c r="D115" s="52"/>
      <c r="E115" s="52"/>
      <c r="F115" s="52"/>
      <c r="G115" s="52"/>
      <c r="H115" s="52"/>
      <c r="I115" s="52"/>
      <c r="J115" s="52"/>
      <c r="K115" s="178"/>
      <c r="L115" s="178"/>
      <c r="M115" s="178"/>
      <c r="N115" s="178"/>
      <c r="O115" s="178"/>
      <c r="P115" s="178"/>
      <c r="Q115" s="178"/>
      <c r="R115" s="178"/>
      <c r="S115" s="178"/>
      <c r="T115" s="178"/>
      <c r="U115" s="178"/>
      <c r="V115" s="178"/>
      <c r="W115" s="178"/>
      <c r="X115" s="178"/>
      <c r="Y115" s="178"/>
      <c r="Z115" s="178"/>
      <c r="AA115" s="178"/>
      <c r="AB115" s="178"/>
      <c r="AC115" s="31"/>
      <c r="AD115" s="31"/>
      <c r="AE115" s="31"/>
      <c r="AF115" s="31"/>
      <c r="AG115" s="1"/>
      <c r="AH115" s="32"/>
      <c r="AI115" s="33"/>
      <c r="AJ115" s="34"/>
      <c r="AK115" s="31"/>
      <c r="AL115" s="31"/>
      <c r="AM115" s="31"/>
    </row>
    <row r="116" customFormat="false" ht="14.25" hidden="false" customHeight="true" outlineLevel="0" collapsed="false">
      <c r="B116" s="177" t="n">
        <v>13</v>
      </c>
      <c r="C116" s="52" t="s">
        <v>167</v>
      </c>
      <c r="D116" s="52"/>
      <c r="E116" s="52"/>
      <c r="F116" s="52"/>
      <c r="G116" s="52"/>
      <c r="H116" s="52"/>
      <c r="I116" s="52"/>
      <c r="J116" s="52"/>
      <c r="K116" s="68"/>
      <c r="L116" s="68"/>
      <c r="M116" s="68"/>
      <c r="N116" s="68"/>
      <c r="O116" s="68"/>
      <c r="P116" s="68"/>
      <c r="Q116" s="68"/>
      <c r="R116" s="68"/>
      <c r="S116" s="68"/>
      <c r="T116" s="181" t="s">
        <v>168</v>
      </c>
      <c r="U116" s="181"/>
      <c r="V116" s="181"/>
      <c r="W116" s="181"/>
      <c r="X116" s="178"/>
      <c r="Y116" s="178"/>
      <c r="Z116" s="178"/>
      <c r="AA116" s="178"/>
      <c r="AB116" s="178"/>
      <c r="AC116" s="31"/>
      <c r="AD116" s="31"/>
      <c r="AE116" s="31"/>
      <c r="AF116" s="31"/>
      <c r="AG116" s="182"/>
      <c r="AH116" s="32"/>
      <c r="AI116" s="33"/>
      <c r="AJ116" s="34"/>
      <c r="AK116" s="31"/>
      <c r="AL116" s="31"/>
      <c r="AM116" s="31"/>
    </row>
    <row r="117" customFormat="false" ht="21.75" hidden="false" customHeight="true" outlineLevel="0" collapsed="false">
      <c r="B117" s="177"/>
      <c r="C117" s="52"/>
      <c r="D117" s="52"/>
      <c r="E117" s="52"/>
      <c r="F117" s="52"/>
      <c r="G117" s="52"/>
      <c r="H117" s="52"/>
      <c r="I117" s="52"/>
      <c r="J117" s="52"/>
      <c r="K117" s="68"/>
      <c r="L117" s="68"/>
      <c r="M117" s="68"/>
      <c r="N117" s="68"/>
      <c r="O117" s="68"/>
      <c r="P117" s="68"/>
      <c r="Q117" s="68"/>
      <c r="R117" s="68"/>
      <c r="S117" s="68"/>
      <c r="T117" s="181"/>
      <c r="U117" s="181"/>
      <c r="V117" s="181"/>
      <c r="W117" s="181"/>
      <c r="X117" s="178"/>
      <c r="Y117" s="178"/>
      <c r="Z117" s="178"/>
      <c r="AA117" s="178"/>
      <c r="AB117" s="178"/>
      <c r="AC117" s="31"/>
      <c r="AD117" s="31"/>
      <c r="AE117" s="31"/>
      <c r="AF117" s="31"/>
      <c r="AG117" s="182"/>
      <c r="AH117" s="32"/>
      <c r="AI117" s="33"/>
      <c r="AJ117" s="34"/>
      <c r="AK117" s="31"/>
      <c r="AL117" s="31"/>
      <c r="AM117" s="31"/>
    </row>
    <row r="118" customFormat="false" ht="14.25" hidden="false" customHeight="true" outlineLevel="0" collapsed="false">
      <c r="B118" s="183" t="n">
        <v>14</v>
      </c>
      <c r="C118" s="184" t="s">
        <v>169</v>
      </c>
      <c r="D118" s="184"/>
      <c r="E118" s="184"/>
      <c r="F118" s="184"/>
      <c r="G118" s="184"/>
      <c r="H118" s="184"/>
      <c r="I118" s="184"/>
      <c r="J118" s="184"/>
      <c r="K118" s="185"/>
      <c r="L118" s="185"/>
      <c r="M118" s="185"/>
      <c r="N118" s="185"/>
      <c r="O118" s="185"/>
      <c r="P118" s="185"/>
      <c r="Q118" s="185"/>
      <c r="R118" s="185"/>
      <c r="S118" s="185"/>
      <c r="T118" s="185"/>
      <c r="U118" s="185"/>
      <c r="V118" s="185"/>
      <c r="W118" s="185"/>
      <c r="X118" s="184" t="s">
        <v>170</v>
      </c>
      <c r="Y118" s="184"/>
      <c r="Z118" s="184"/>
      <c r="AA118" s="186" t="s">
        <v>171</v>
      </c>
      <c r="AB118" s="186"/>
      <c r="AC118" s="31"/>
      <c r="AD118" s="31"/>
      <c r="AE118" s="31"/>
      <c r="AF118" s="31"/>
      <c r="AG118" s="182"/>
      <c r="AH118" s="32"/>
      <c r="AI118" s="33"/>
      <c r="AJ118" s="34"/>
      <c r="AK118" s="31"/>
      <c r="AL118" s="31"/>
      <c r="AM118" s="31"/>
    </row>
    <row r="119" customFormat="false" ht="32.25" hidden="false" customHeight="true" outlineLevel="0" collapsed="false">
      <c r="B119" s="183"/>
      <c r="C119" s="184"/>
      <c r="D119" s="184"/>
      <c r="E119" s="184"/>
      <c r="F119" s="184"/>
      <c r="G119" s="184"/>
      <c r="H119" s="184"/>
      <c r="I119" s="184"/>
      <c r="J119" s="184"/>
      <c r="K119" s="185"/>
      <c r="L119" s="185"/>
      <c r="M119" s="185"/>
      <c r="N119" s="185"/>
      <c r="O119" s="185"/>
      <c r="P119" s="185"/>
      <c r="Q119" s="185"/>
      <c r="R119" s="185"/>
      <c r="S119" s="185"/>
      <c r="T119" s="185"/>
      <c r="U119" s="185"/>
      <c r="V119" s="185"/>
      <c r="W119" s="185"/>
      <c r="X119" s="184"/>
      <c r="Y119" s="184"/>
      <c r="Z119" s="184"/>
      <c r="AA119" s="186"/>
      <c r="AB119" s="186"/>
      <c r="AC119" s="31"/>
      <c r="AD119" s="31"/>
      <c r="AE119" s="31"/>
      <c r="AF119" s="31"/>
      <c r="AG119" s="182"/>
      <c r="AH119" s="32"/>
      <c r="AI119" s="33"/>
      <c r="AJ119" s="34"/>
      <c r="AK119" s="31"/>
      <c r="AL119" s="31"/>
      <c r="AM119" s="31"/>
    </row>
    <row r="120" customFormat="false" ht="14.25" hidden="false" customHeight="true" outlineLevel="0" collapsed="false">
      <c r="B120" s="56" t="n">
        <v>15</v>
      </c>
      <c r="C120" s="52" t="s">
        <v>172</v>
      </c>
      <c r="D120" s="52"/>
      <c r="E120" s="52"/>
      <c r="F120" s="52"/>
      <c r="G120" s="52"/>
      <c r="H120" s="52"/>
      <c r="I120" s="52"/>
      <c r="J120" s="52"/>
      <c r="K120" s="52" t="s">
        <v>173</v>
      </c>
      <c r="L120" s="52"/>
      <c r="M120" s="52"/>
      <c r="N120" s="52"/>
      <c r="O120" s="187"/>
      <c r="P120" s="187"/>
      <c r="Q120" s="187"/>
      <c r="R120" s="187"/>
      <c r="S120" s="187"/>
      <c r="T120" s="187"/>
      <c r="U120" s="52" t="s">
        <v>174</v>
      </c>
      <c r="V120" s="52"/>
      <c r="W120" s="52"/>
      <c r="X120" s="187"/>
      <c r="Y120" s="187"/>
      <c r="Z120" s="187"/>
      <c r="AA120" s="187"/>
      <c r="AB120" s="187"/>
      <c r="AC120" s="31"/>
      <c r="AD120" s="31"/>
      <c r="AE120" s="31"/>
      <c r="AF120" s="31"/>
      <c r="AG120" s="188" t="s">
        <v>175</v>
      </c>
      <c r="AH120" s="32"/>
      <c r="AI120" s="33"/>
      <c r="AJ120" s="34"/>
      <c r="AK120" s="31"/>
      <c r="AL120" s="31"/>
      <c r="AM120" s="31"/>
    </row>
    <row r="121" customFormat="false" ht="14.25" hidden="false" customHeight="true" outlineLevel="0" collapsed="false">
      <c r="B121" s="56"/>
      <c r="C121" s="52"/>
      <c r="D121" s="52"/>
      <c r="E121" s="52"/>
      <c r="F121" s="52"/>
      <c r="G121" s="52"/>
      <c r="H121" s="52"/>
      <c r="I121" s="52"/>
      <c r="J121" s="52"/>
      <c r="K121" s="52"/>
      <c r="L121" s="52"/>
      <c r="M121" s="52"/>
      <c r="N121" s="52"/>
      <c r="O121" s="187"/>
      <c r="P121" s="187"/>
      <c r="Q121" s="187"/>
      <c r="R121" s="187"/>
      <c r="S121" s="187"/>
      <c r="T121" s="187"/>
      <c r="U121" s="52"/>
      <c r="V121" s="52"/>
      <c r="W121" s="52"/>
      <c r="X121" s="187"/>
      <c r="Y121" s="187"/>
      <c r="Z121" s="187"/>
      <c r="AA121" s="187"/>
      <c r="AB121" s="187"/>
      <c r="AC121" s="31"/>
      <c r="AD121" s="31"/>
      <c r="AE121" s="31"/>
      <c r="AF121" s="31"/>
      <c r="AG121" s="188" t="s">
        <v>176</v>
      </c>
      <c r="AH121" s="32"/>
      <c r="AI121" s="33"/>
      <c r="AJ121" s="34"/>
      <c r="AK121" s="31"/>
      <c r="AL121" s="31"/>
      <c r="AM121" s="31"/>
    </row>
    <row r="122" customFormat="false" ht="14.25" hidden="false" customHeight="true" outlineLevel="0" collapsed="false">
      <c r="A122" s="31"/>
      <c r="B122" s="189"/>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31"/>
      <c r="AD122" s="31"/>
      <c r="AE122" s="31"/>
      <c r="AF122" s="31"/>
      <c r="AG122" s="188" t="s">
        <v>177</v>
      </c>
      <c r="AH122" s="32"/>
      <c r="AI122" s="33"/>
      <c r="AJ122" s="34"/>
      <c r="AK122" s="31"/>
      <c r="AL122" s="31"/>
      <c r="AM122" s="31"/>
    </row>
    <row r="123" s="192" customFormat="true" ht="14.25" hidden="false" customHeight="true" outlineLevel="0" collapsed="false">
      <c r="A123" s="190"/>
      <c r="B123" s="191"/>
      <c r="AC123" s="190"/>
      <c r="AD123" s="190"/>
      <c r="AE123" s="190"/>
      <c r="AF123" s="190"/>
      <c r="AG123" s="190" t="s">
        <v>178</v>
      </c>
      <c r="AH123" s="190"/>
      <c r="AI123" s="190"/>
      <c r="AJ123" s="190"/>
      <c r="AK123" s="190"/>
      <c r="AL123" s="190"/>
      <c r="AM123" s="190"/>
    </row>
    <row r="124" s="192" customFormat="true" ht="14.25" hidden="false" customHeight="true" outlineLevel="0" collapsed="false">
      <c r="A124" s="190"/>
      <c r="B124" s="193" t="s">
        <v>179</v>
      </c>
      <c r="C124" s="193"/>
      <c r="D124" s="193"/>
      <c r="E124" s="193"/>
      <c r="F124" s="193"/>
      <c r="G124" s="193"/>
      <c r="H124" s="193"/>
      <c r="I124" s="193"/>
      <c r="J124" s="193"/>
      <c r="AC124" s="190"/>
      <c r="AD124" s="190"/>
      <c r="AE124" s="190"/>
      <c r="AF124" s="190"/>
      <c r="AG124" s="190"/>
      <c r="AH124" s="190"/>
      <c r="AI124" s="190"/>
      <c r="AJ124" s="190"/>
      <c r="AK124" s="190"/>
      <c r="AL124" s="190"/>
      <c r="AM124" s="190"/>
    </row>
    <row r="125" s="192" customFormat="true" ht="14.25" hidden="false" customHeight="true" outlineLevel="0" collapsed="false">
      <c r="A125" s="190"/>
      <c r="B125" s="193"/>
      <c r="C125" s="193"/>
      <c r="D125" s="193"/>
      <c r="E125" s="193"/>
      <c r="F125" s="193"/>
      <c r="G125" s="193"/>
      <c r="H125" s="193"/>
      <c r="I125" s="193"/>
      <c r="J125" s="193"/>
      <c r="AC125" s="190"/>
      <c r="AD125" s="190"/>
      <c r="AE125" s="190"/>
      <c r="AF125" s="190"/>
      <c r="AG125" s="190"/>
      <c r="AH125" s="190"/>
      <c r="AI125" s="190"/>
      <c r="AJ125" s="190"/>
      <c r="AK125" s="190"/>
      <c r="AL125" s="190"/>
      <c r="AM125" s="190"/>
    </row>
    <row r="126" customFormat="false" ht="61.5" hidden="false" customHeight="true" outlineLevel="0" collapsed="false">
      <c r="A126" s="31"/>
      <c r="B126" s="194" t="s">
        <v>180</v>
      </c>
      <c r="C126" s="194"/>
      <c r="D126" s="194"/>
      <c r="E126" s="194"/>
      <c r="F126" s="194"/>
      <c r="G126" s="194"/>
      <c r="H126" s="194"/>
      <c r="I126" s="194"/>
      <c r="J126" s="194"/>
      <c r="K126" s="195"/>
      <c r="L126" s="195"/>
      <c r="M126" s="195"/>
      <c r="N126" s="195"/>
      <c r="O126" s="1"/>
      <c r="P126" s="1"/>
      <c r="Q126" s="1"/>
      <c r="R126" s="1"/>
      <c r="S126" s="1"/>
      <c r="T126" s="1"/>
      <c r="U126" s="1"/>
      <c r="V126" s="1"/>
      <c r="W126" s="1"/>
      <c r="X126" s="1"/>
      <c r="Y126" s="1"/>
      <c r="Z126" s="1"/>
      <c r="AA126" s="1"/>
      <c r="AB126" s="1"/>
      <c r="AC126" s="31"/>
      <c r="AD126" s="31"/>
      <c r="AE126" s="31"/>
      <c r="AF126" s="31"/>
      <c r="AG126" s="31" t="s">
        <v>181</v>
      </c>
      <c r="AH126" s="32"/>
      <c r="AI126" s="33"/>
      <c r="AJ126" s="34"/>
      <c r="AK126" s="31"/>
      <c r="AL126" s="31"/>
      <c r="AM126" s="31"/>
    </row>
    <row r="127" customFormat="false" ht="14.25" hidden="false" customHeight="true" outlineLevel="0" collapsed="false">
      <c r="A127" s="31"/>
      <c r="B127" s="189"/>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31"/>
      <c r="AD127" s="31"/>
      <c r="AE127" s="31"/>
      <c r="AF127" s="31"/>
      <c r="AG127" s="31" t="s">
        <v>182</v>
      </c>
      <c r="AH127" s="32"/>
      <c r="AI127" s="33"/>
      <c r="AJ127" s="34"/>
      <c r="AK127" s="31"/>
      <c r="AL127" s="31"/>
      <c r="AM127" s="31"/>
    </row>
    <row r="128" customFormat="false" ht="14.25" hidden="false" customHeight="true" outlineLevel="0" collapsed="false">
      <c r="A128" s="31"/>
      <c r="B128" s="189"/>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31"/>
      <c r="AD128" s="31"/>
      <c r="AE128" s="31"/>
      <c r="AF128" s="31"/>
      <c r="AG128" s="31" t="s">
        <v>183</v>
      </c>
      <c r="AH128" s="32"/>
      <c r="AI128" s="33"/>
      <c r="AJ128" s="34"/>
      <c r="AK128" s="31"/>
      <c r="AL128" s="31"/>
      <c r="AM128" s="31"/>
    </row>
    <row r="129" customFormat="false" ht="14.25" hidden="false" customHeight="true" outlineLevel="0" collapsed="false">
      <c r="A129" s="31"/>
      <c r="B129" s="189"/>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31"/>
      <c r="AD129" s="31"/>
      <c r="AE129" s="31"/>
      <c r="AF129" s="31"/>
      <c r="AG129" s="31" t="s">
        <v>184</v>
      </c>
      <c r="AH129" s="32"/>
      <c r="AI129" s="33"/>
      <c r="AJ129" s="34"/>
      <c r="AK129" s="31"/>
      <c r="AL129" s="31"/>
      <c r="AM129" s="31"/>
    </row>
    <row r="130" customFormat="false" ht="14.25" hidden="false" customHeight="true" outlineLevel="0" collapsed="false">
      <c r="A130" s="31"/>
      <c r="B130" s="189"/>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31"/>
      <c r="AD130" s="31"/>
      <c r="AE130" s="31"/>
      <c r="AF130" s="31"/>
      <c r="AG130" s="31" t="s">
        <v>185</v>
      </c>
      <c r="AH130" s="32"/>
      <c r="AI130" s="33"/>
      <c r="AJ130" s="34"/>
      <c r="AK130" s="31"/>
      <c r="AL130" s="31"/>
      <c r="AM130" s="31"/>
    </row>
    <row r="131" customFormat="false" ht="14.25" hidden="false" customHeight="true" outlineLevel="0" collapsed="false">
      <c r="A131" s="31"/>
      <c r="B131" s="189"/>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31"/>
      <c r="AD131" s="31"/>
      <c r="AE131" s="31"/>
      <c r="AF131" s="31"/>
      <c r="AG131" s="31" t="s">
        <v>186</v>
      </c>
      <c r="AH131" s="32"/>
      <c r="AI131" s="33"/>
      <c r="AJ131" s="34"/>
      <c r="AK131" s="31"/>
      <c r="AL131" s="31"/>
      <c r="AM131" s="31"/>
    </row>
    <row r="132" customFormat="false" ht="14.25" hidden="false" customHeight="true" outlineLevel="0" collapsed="false">
      <c r="A132" s="31"/>
      <c r="B132" s="189"/>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31"/>
      <c r="AD132" s="31"/>
      <c r="AE132" s="31"/>
      <c r="AF132" s="31"/>
      <c r="AG132" s="31" t="s">
        <v>187</v>
      </c>
      <c r="AH132" s="32"/>
      <c r="AI132" s="33"/>
      <c r="AJ132" s="34"/>
      <c r="AK132" s="31"/>
      <c r="AL132" s="31"/>
      <c r="AM132" s="31"/>
    </row>
    <row r="133" customFormat="false" ht="14.25" hidden="false" customHeight="true" outlineLevel="0" collapsed="false">
      <c r="A133" s="31"/>
      <c r="B133" s="189"/>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31"/>
      <c r="AD133" s="31"/>
      <c r="AE133" s="31"/>
      <c r="AF133" s="31"/>
      <c r="AG133" s="31" t="s">
        <v>188</v>
      </c>
      <c r="AH133" s="32"/>
      <c r="AI133" s="33"/>
      <c r="AJ133" s="34"/>
      <c r="AK133" s="31"/>
      <c r="AL133" s="31"/>
      <c r="AM133" s="31"/>
    </row>
    <row r="134" customFormat="false" ht="14.25" hidden="false" customHeight="true" outlineLevel="0" collapsed="false">
      <c r="A134" s="31"/>
      <c r="B134" s="189"/>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31"/>
      <c r="AD134" s="31"/>
      <c r="AE134" s="31"/>
      <c r="AF134" s="31"/>
      <c r="AG134" s="31" t="s">
        <v>189</v>
      </c>
      <c r="AH134" s="32"/>
      <c r="AI134" s="33"/>
      <c r="AJ134" s="34"/>
      <c r="AK134" s="31"/>
      <c r="AL134" s="31"/>
      <c r="AM134" s="31"/>
    </row>
    <row r="135" customFormat="false" ht="14.25" hidden="false" customHeight="true" outlineLevel="0" collapsed="false">
      <c r="A135" s="31"/>
      <c r="B135" s="189"/>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31"/>
      <c r="AD135" s="31"/>
      <c r="AE135" s="31"/>
      <c r="AF135" s="31"/>
      <c r="AG135" s="31" t="s">
        <v>190</v>
      </c>
      <c r="AH135" s="32"/>
      <c r="AI135" s="33"/>
      <c r="AJ135" s="34"/>
      <c r="AK135" s="31"/>
      <c r="AL135" s="31"/>
      <c r="AM135" s="31"/>
    </row>
    <row r="136" customFormat="false" ht="14.25" hidden="false" customHeight="true" outlineLevel="0" collapsed="false">
      <c r="A136" s="31"/>
      <c r="B136" s="189"/>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31"/>
      <c r="AD136" s="31"/>
      <c r="AE136" s="31"/>
      <c r="AF136" s="31"/>
      <c r="AG136" s="31" t="s">
        <v>191</v>
      </c>
      <c r="AH136" s="32"/>
      <c r="AI136" s="33"/>
      <c r="AJ136" s="34"/>
      <c r="AK136" s="31"/>
      <c r="AL136" s="31"/>
      <c r="AM136" s="31"/>
    </row>
    <row r="137" customFormat="false" ht="14.25" hidden="false" customHeight="true" outlineLevel="0" collapsed="false">
      <c r="A137" s="31"/>
      <c r="B137" s="189"/>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31"/>
      <c r="AD137" s="31"/>
      <c r="AE137" s="31"/>
      <c r="AF137" s="31"/>
      <c r="AG137" s="31" t="s">
        <v>192</v>
      </c>
      <c r="AH137" s="32"/>
      <c r="AI137" s="33"/>
      <c r="AJ137" s="34"/>
      <c r="AK137" s="31"/>
      <c r="AL137" s="31"/>
      <c r="AM137" s="31"/>
    </row>
    <row r="138" customFormat="false" ht="14.25" hidden="false" customHeight="true" outlineLevel="0" collapsed="false">
      <c r="A138" s="31"/>
      <c r="B138" s="189"/>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31"/>
      <c r="AD138" s="31"/>
      <c r="AE138" s="31"/>
      <c r="AF138" s="31"/>
      <c r="AG138" s="31" t="s">
        <v>193</v>
      </c>
      <c r="AH138" s="32"/>
      <c r="AI138" s="33"/>
      <c r="AJ138" s="34"/>
      <c r="AK138" s="31"/>
      <c r="AL138" s="31"/>
      <c r="AM138" s="31"/>
    </row>
    <row r="139" customFormat="false" ht="14.25" hidden="false" customHeight="true" outlineLevel="0" collapsed="false">
      <c r="A139" s="31"/>
      <c r="B139" s="189"/>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31"/>
      <c r="AD139" s="31"/>
      <c r="AE139" s="31"/>
      <c r="AF139" s="31"/>
      <c r="AG139" s="31" t="s">
        <v>194</v>
      </c>
      <c r="AH139" s="32"/>
      <c r="AI139" s="33"/>
      <c r="AJ139" s="34"/>
      <c r="AK139" s="31"/>
      <c r="AL139" s="31"/>
      <c r="AM139" s="31"/>
    </row>
    <row r="140" customFormat="false" ht="14.25" hidden="false" customHeight="true" outlineLevel="0" collapsed="false">
      <c r="A140" s="31"/>
      <c r="B140" s="189"/>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31"/>
      <c r="AD140" s="31"/>
      <c r="AE140" s="31"/>
      <c r="AF140" s="31"/>
      <c r="AG140" s="31" t="s">
        <v>195</v>
      </c>
      <c r="AH140" s="32"/>
      <c r="AI140" s="33"/>
      <c r="AJ140" s="34"/>
      <c r="AK140" s="31"/>
      <c r="AL140" s="31"/>
      <c r="AM140" s="31"/>
    </row>
    <row r="141" customFormat="false" ht="14.25" hidden="false" customHeight="true" outlineLevel="0" collapsed="false">
      <c r="A141" s="31"/>
      <c r="B141" s="189"/>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31"/>
      <c r="AD141" s="31"/>
      <c r="AE141" s="31"/>
      <c r="AF141" s="31"/>
      <c r="AG141" s="31" t="s">
        <v>196</v>
      </c>
      <c r="AH141" s="32"/>
      <c r="AI141" s="33"/>
      <c r="AJ141" s="34"/>
      <c r="AK141" s="31"/>
      <c r="AL141" s="31"/>
      <c r="AM141" s="31"/>
    </row>
    <row r="142" customFormat="false" ht="14.25" hidden="false" customHeight="true" outlineLevel="0" collapsed="false">
      <c r="A142" s="31"/>
      <c r="B142" s="189"/>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31"/>
      <c r="AD142" s="31"/>
      <c r="AE142" s="31"/>
      <c r="AF142" s="31"/>
      <c r="AG142" s="31" t="s">
        <v>197</v>
      </c>
      <c r="AH142" s="32"/>
      <c r="AI142" s="33"/>
      <c r="AJ142" s="34"/>
      <c r="AK142" s="31"/>
      <c r="AL142" s="31"/>
      <c r="AM142" s="31"/>
    </row>
    <row r="143" customFormat="false" ht="14.25" hidden="false" customHeight="true" outlineLevel="0" collapsed="false">
      <c r="A143" s="31"/>
      <c r="B143" s="189"/>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31"/>
      <c r="AD143" s="31"/>
      <c r="AE143" s="31"/>
      <c r="AF143" s="31"/>
      <c r="AG143" s="31"/>
      <c r="AH143" s="32"/>
      <c r="AI143" s="33"/>
      <c r="AJ143" s="34"/>
      <c r="AK143" s="31"/>
      <c r="AL143" s="31"/>
      <c r="AM143" s="31"/>
    </row>
    <row r="144" customFormat="false" ht="14.25" hidden="false" customHeight="true" outlineLevel="0" collapsed="false">
      <c r="A144" s="31"/>
      <c r="B144" s="189"/>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31"/>
      <c r="AD144" s="31"/>
      <c r="AE144" s="31"/>
      <c r="AF144" s="31"/>
      <c r="AG144" s="196" t="s">
        <v>198</v>
      </c>
      <c r="AH144" s="32"/>
      <c r="AI144" s="33"/>
      <c r="AJ144" s="34"/>
      <c r="AK144" s="31"/>
      <c r="AL144" s="31"/>
      <c r="AM144" s="31"/>
    </row>
    <row r="145" customFormat="false" ht="14.25" hidden="false" customHeight="true" outlineLevel="0" collapsed="false">
      <c r="A145" s="31"/>
      <c r="B145" s="189"/>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31"/>
      <c r="AD145" s="31"/>
      <c r="AE145" s="31"/>
      <c r="AF145" s="31"/>
      <c r="AG145" s="196" t="s">
        <v>199</v>
      </c>
      <c r="AH145" s="32"/>
      <c r="AI145" s="33"/>
      <c r="AJ145" s="34"/>
      <c r="AK145" s="31"/>
      <c r="AL145" s="31"/>
      <c r="AM145" s="31"/>
    </row>
    <row r="146" customFormat="false" ht="14.25" hidden="false" customHeight="true" outlineLevel="0" collapsed="false">
      <c r="A146" s="31"/>
      <c r="B146" s="189"/>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31"/>
      <c r="AD146" s="31"/>
      <c r="AE146" s="31"/>
      <c r="AF146" s="31"/>
      <c r="AG146" s="31"/>
      <c r="AH146" s="32"/>
      <c r="AI146" s="33"/>
      <c r="AJ146" s="34"/>
      <c r="AK146" s="31"/>
      <c r="AL146" s="31"/>
      <c r="AM146" s="31"/>
    </row>
    <row r="147" customFormat="false" ht="14.25" hidden="false" customHeight="true" outlineLevel="0" collapsed="false">
      <c r="A147" s="31"/>
      <c r="B147" s="189"/>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31"/>
      <c r="AD147" s="31"/>
      <c r="AE147" s="31"/>
      <c r="AF147" s="31"/>
      <c r="AG147" s="31"/>
      <c r="AH147" s="32"/>
      <c r="AI147" s="33"/>
      <c r="AJ147" s="34"/>
      <c r="AK147" s="31"/>
      <c r="AL147" s="31"/>
      <c r="AM147" s="31"/>
    </row>
    <row r="148" customFormat="false" ht="14.25" hidden="false" customHeight="true" outlineLevel="0" collapsed="false">
      <c r="A148" s="31"/>
      <c r="B148" s="189"/>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31"/>
      <c r="AD148" s="31"/>
      <c r="AE148" s="31"/>
      <c r="AF148" s="31"/>
      <c r="AG148" s="31"/>
      <c r="AH148" s="32"/>
      <c r="AI148" s="33"/>
      <c r="AJ148" s="34"/>
      <c r="AK148" s="31"/>
      <c r="AL148" s="31"/>
      <c r="AM148" s="31"/>
    </row>
    <row r="149" customFormat="false" ht="14.25" hidden="false" customHeight="true" outlineLevel="0" collapsed="false">
      <c r="A149" s="31"/>
      <c r="B149" s="189"/>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31"/>
      <c r="AD149" s="31"/>
      <c r="AE149" s="31"/>
      <c r="AF149" s="31"/>
      <c r="AG149" s="31"/>
      <c r="AH149" s="32"/>
      <c r="AI149" s="33"/>
      <c r="AJ149" s="34"/>
      <c r="AK149" s="31"/>
      <c r="AL149" s="31"/>
      <c r="AM149" s="31"/>
    </row>
    <row r="150" customFormat="false" ht="14.25" hidden="false" customHeight="true" outlineLevel="0" collapsed="false">
      <c r="A150" s="31"/>
      <c r="B150" s="189"/>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31"/>
      <c r="AD150" s="31"/>
      <c r="AE150" s="31"/>
      <c r="AF150" s="31"/>
      <c r="AG150" s="31"/>
      <c r="AH150" s="32"/>
      <c r="AI150" s="33"/>
      <c r="AJ150" s="34"/>
      <c r="AK150" s="31"/>
      <c r="AL150" s="31"/>
      <c r="AM150" s="31"/>
    </row>
    <row r="151" customFormat="false" ht="14.25" hidden="false" customHeight="true" outlineLevel="0" collapsed="false">
      <c r="A151" s="31"/>
      <c r="B151" s="189"/>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31"/>
      <c r="AD151" s="31"/>
      <c r="AE151" s="31"/>
      <c r="AF151" s="31"/>
      <c r="AG151" s="31"/>
      <c r="AH151" s="32"/>
      <c r="AI151" s="33"/>
      <c r="AJ151" s="34"/>
      <c r="AK151" s="31"/>
      <c r="AL151" s="31"/>
      <c r="AM151" s="31"/>
    </row>
    <row r="152" customFormat="false" ht="14.25" hidden="false" customHeight="true" outlineLevel="0" collapsed="false">
      <c r="A152" s="31"/>
      <c r="B152" s="189"/>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31"/>
      <c r="AD152" s="31"/>
      <c r="AE152" s="31"/>
      <c r="AF152" s="31"/>
      <c r="AG152" s="31"/>
      <c r="AH152" s="32"/>
      <c r="AI152" s="33"/>
      <c r="AJ152" s="34"/>
      <c r="AK152" s="31"/>
      <c r="AL152" s="31"/>
      <c r="AM152" s="31"/>
    </row>
    <row r="153" customFormat="false" ht="14.25" hidden="false" customHeight="true" outlineLevel="0" collapsed="false">
      <c r="A153" s="31"/>
      <c r="B153" s="189"/>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31"/>
      <c r="AD153" s="31"/>
      <c r="AE153" s="31"/>
      <c r="AF153" s="31"/>
      <c r="AG153" s="31"/>
      <c r="AH153" s="32"/>
      <c r="AI153" s="33"/>
      <c r="AJ153" s="34"/>
      <c r="AK153" s="31"/>
      <c r="AL153" s="31"/>
      <c r="AM153" s="31"/>
    </row>
    <row r="154" customFormat="false" ht="14.25" hidden="false" customHeight="true" outlineLevel="0" collapsed="false">
      <c r="A154" s="31"/>
      <c r="B154" s="189"/>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31"/>
      <c r="AD154" s="31"/>
      <c r="AE154" s="31"/>
      <c r="AF154" s="31"/>
      <c r="AG154" s="31"/>
      <c r="AH154" s="32"/>
      <c r="AI154" s="33"/>
      <c r="AJ154" s="34"/>
      <c r="AK154" s="31"/>
      <c r="AL154" s="31"/>
      <c r="AM154" s="31"/>
    </row>
    <row r="155" customFormat="false" ht="14.25" hidden="false" customHeight="true" outlineLevel="0" collapsed="false">
      <c r="A155" s="31"/>
      <c r="B155" s="189"/>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31"/>
      <c r="AD155" s="31"/>
      <c r="AE155" s="31"/>
      <c r="AF155" s="31"/>
      <c r="AG155" s="31"/>
      <c r="AH155" s="32"/>
      <c r="AI155" s="33"/>
      <c r="AJ155" s="34"/>
      <c r="AK155" s="31"/>
      <c r="AL155" s="31"/>
      <c r="AM155" s="31"/>
    </row>
    <row r="156" customFormat="false" ht="14.25" hidden="false" customHeight="true" outlineLevel="0" collapsed="false">
      <c r="A156" s="31"/>
      <c r="B156" s="189"/>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31"/>
      <c r="AD156" s="31"/>
      <c r="AE156" s="31"/>
      <c r="AF156" s="31"/>
      <c r="AG156" s="31"/>
      <c r="AH156" s="32"/>
      <c r="AI156" s="33"/>
      <c r="AJ156" s="34"/>
      <c r="AK156" s="31"/>
      <c r="AL156" s="31"/>
      <c r="AM156" s="31"/>
    </row>
    <row r="157" customFormat="false" ht="14.25" hidden="false" customHeight="true" outlineLevel="0" collapsed="false">
      <c r="A157" s="31"/>
      <c r="B157" s="189"/>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31"/>
      <c r="AD157" s="31"/>
      <c r="AE157" s="31"/>
      <c r="AF157" s="31"/>
      <c r="AG157" s="31"/>
      <c r="AH157" s="32"/>
      <c r="AI157" s="33"/>
      <c r="AJ157" s="34"/>
      <c r="AK157" s="31"/>
      <c r="AL157" s="31"/>
      <c r="AM157" s="31"/>
    </row>
    <row r="158" customFormat="false" ht="14.25" hidden="false" customHeight="true" outlineLevel="0" collapsed="false">
      <c r="A158" s="31"/>
      <c r="B158" s="189"/>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31"/>
      <c r="AD158" s="31"/>
      <c r="AE158" s="31"/>
      <c r="AF158" s="31"/>
      <c r="AG158" s="31"/>
      <c r="AH158" s="32"/>
      <c r="AI158" s="33"/>
      <c r="AJ158" s="34"/>
      <c r="AK158" s="31"/>
      <c r="AL158" s="31"/>
      <c r="AM158" s="31"/>
    </row>
    <row r="159" customFormat="false" ht="14.25" hidden="false" customHeight="true" outlineLevel="0" collapsed="false">
      <c r="A159" s="31"/>
      <c r="B159" s="189"/>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31"/>
      <c r="AD159" s="31"/>
      <c r="AE159" s="31"/>
      <c r="AF159" s="31"/>
      <c r="AG159" s="31"/>
      <c r="AH159" s="32"/>
      <c r="AI159" s="33"/>
      <c r="AJ159" s="34"/>
      <c r="AK159" s="31"/>
      <c r="AL159" s="31"/>
      <c r="AM159" s="31"/>
    </row>
    <row r="160" customFormat="false" ht="14.25" hidden="false" customHeight="true" outlineLevel="0" collapsed="false">
      <c r="A160" s="31"/>
      <c r="B160" s="189"/>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31"/>
      <c r="AD160" s="31"/>
      <c r="AE160" s="31"/>
      <c r="AF160" s="31"/>
      <c r="AG160" s="31"/>
      <c r="AH160" s="32"/>
      <c r="AI160" s="33"/>
      <c r="AJ160" s="34"/>
      <c r="AK160" s="31"/>
      <c r="AL160" s="31"/>
      <c r="AM160" s="31"/>
    </row>
    <row r="161" customFormat="false" ht="14.25" hidden="false" customHeight="true" outlineLevel="0" collapsed="false">
      <c r="A161" s="31"/>
      <c r="B161" s="189"/>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31"/>
      <c r="AD161" s="31"/>
      <c r="AE161" s="31"/>
      <c r="AF161" s="31"/>
      <c r="AG161" s="31"/>
      <c r="AH161" s="32"/>
      <c r="AI161" s="33"/>
      <c r="AJ161" s="34"/>
      <c r="AK161" s="31"/>
      <c r="AL161" s="31"/>
      <c r="AM161" s="31"/>
    </row>
    <row r="162" customFormat="false" ht="14.25" hidden="false" customHeight="true" outlineLevel="0" collapsed="false">
      <c r="A162" s="31"/>
      <c r="B162" s="189"/>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31"/>
      <c r="AD162" s="31"/>
      <c r="AE162" s="31"/>
      <c r="AF162" s="31"/>
      <c r="AG162" s="31"/>
      <c r="AH162" s="32"/>
      <c r="AI162" s="33"/>
      <c r="AJ162" s="34"/>
      <c r="AK162" s="31"/>
      <c r="AL162" s="31"/>
      <c r="AM162" s="31"/>
    </row>
    <row r="163" customFormat="false" ht="14.25" hidden="false" customHeight="true" outlineLevel="0" collapsed="false">
      <c r="A163" s="31"/>
      <c r="B163" s="189"/>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31"/>
      <c r="AD163" s="31"/>
      <c r="AE163" s="31"/>
      <c r="AF163" s="31"/>
      <c r="AG163" s="31"/>
      <c r="AH163" s="32"/>
      <c r="AI163" s="33"/>
      <c r="AJ163" s="34"/>
      <c r="AK163" s="31"/>
      <c r="AL163" s="31"/>
      <c r="AM163" s="31"/>
    </row>
    <row r="164" customFormat="false" ht="14.25" hidden="false" customHeight="true" outlineLevel="0" collapsed="false">
      <c r="A164" s="31"/>
      <c r="B164" s="189"/>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31"/>
      <c r="AD164" s="31"/>
      <c r="AE164" s="31"/>
      <c r="AF164" s="31"/>
      <c r="AG164" s="31"/>
      <c r="AH164" s="32"/>
      <c r="AI164" s="33"/>
      <c r="AJ164" s="34"/>
      <c r="AK164" s="31"/>
      <c r="AL164" s="31"/>
      <c r="AM164" s="31"/>
    </row>
    <row r="165" customFormat="false" ht="14.25" hidden="false" customHeight="true" outlineLevel="0" collapsed="false">
      <c r="A165" s="31"/>
      <c r="B165" s="189"/>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31"/>
      <c r="AD165" s="31"/>
      <c r="AE165" s="31"/>
      <c r="AF165" s="31"/>
      <c r="AG165" s="31"/>
      <c r="AH165" s="32"/>
      <c r="AI165" s="33"/>
      <c r="AJ165" s="34"/>
      <c r="AK165" s="31"/>
      <c r="AL165" s="31"/>
      <c r="AM165" s="31"/>
    </row>
    <row r="166" customFormat="false" ht="14.25" hidden="false" customHeight="true" outlineLevel="0" collapsed="false">
      <c r="A166" s="31"/>
      <c r="B166" s="189"/>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31"/>
      <c r="AD166" s="31"/>
      <c r="AE166" s="31"/>
      <c r="AF166" s="31"/>
      <c r="AG166" s="31"/>
      <c r="AH166" s="32"/>
      <c r="AI166" s="33"/>
      <c r="AJ166" s="34"/>
      <c r="AK166" s="31"/>
      <c r="AL166" s="31"/>
      <c r="AM166" s="31"/>
    </row>
    <row r="167" customFormat="false" ht="14.25" hidden="false" customHeight="true" outlineLevel="0" collapsed="false">
      <c r="A167" s="31"/>
      <c r="B167" s="189"/>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31"/>
      <c r="AD167" s="31"/>
      <c r="AE167" s="31"/>
      <c r="AF167" s="31"/>
      <c r="AG167" s="31"/>
      <c r="AH167" s="32"/>
      <c r="AI167" s="33"/>
      <c r="AJ167" s="34"/>
      <c r="AK167" s="31"/>
      <c r="AL167" s="31"/>
      <c r="AM167" s="31"/>
    </row>
    <row r="168" customFormat="false" ht="14.25" hidden="false" customHeight="true" outlineLevel="0" collapsed="false">
      <c r="A168" s="31"/>
      <c r="B168" s="189"/>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31"/>
      <c r="AD168" s="31"/>
      <c r="AE168" s="31"/>
      <c r="AF168" s="31"/>
      <c r="AG168" s="31"/>
      <c r="AH168" s="32"/>
      <c r="AI168" s="33"/>
      <c r="AJ168" s="34"/>
      <c r="AK168" s="31"/>
      <c r="AL168" s="31"/>
      <c r="AM168" s="31"/>
    </row>
    <row r="169" customFormat="false" ht="14.25" hidden="false" customHeight="true" outlineLevel="0" collapsed="false">
      <c r="A169" s="31"/>
      <c r="B169" s="189"/>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31"/>
      <c r="AD169" s="31"/>
      <c r="AE169" s="31"/>
      <c r="AF169" s="31"/>
      <c r="AG169" s="31"/>
      <c r="AH169" s="32"/>
      <c r="AI169" s="33"/>
      <c r="AJ169" s="34"/>
      <c r="AK169" s="31"/>
      <c r="AL169" s="31"/>
      <c r="AM169" s="31"/>
    </row>
    <row r="170" customFormat="false" ht="14.25" hidden="false" customHeight="true" outlineLevel="0" collapsed="false">
      <c r="A170" s="31"/>
      <c r="B170" s="189"/>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31"/>
      <c r="AD170" s="31"/>
      <c r="AE170" s="31"/>
      <c r="AF170" s="31"/>
      <c r="AG170" s="31"/>
      <c r="AH170" s="32"/>
      <c r="AI170" s="33"/>
      <c r="AJ170" s="34"/>
      <c r="AK170" s="31"/>
      <c r="AL170" s="31"/>
      <c r="AM170" s="31"/>
    </row>
    <row r="171" customFormat="false" ht="14.25" hidden="false" customHeight="true" outlineLevel="0" collapsed="false">
      <c r="A171" s="31"/>
      <c r="B171" s="189"/>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31"/>
      <c r="AD171" s="31"/>
      <c r="AE171" s="31"/>
      <c r="AF171" s="31"/>
      <c r="AG171" s="31"/>
      <c r="AH171" s="32"/>
      <c r="AI171" s="33"/>
      <c r="AJ171" s="34"/>
      <c r="AK171" s="31"/>
      <c r="AL171" s="31"/>
      <c r="AM171" s="31"/>
    </row>
    <row r="172" customFormat="false" ht="14.25" hidden="false" customHeight="true" outlineLevel="0" collapsed="false">
      <c r="A172" s="31"/>
      <c r="B172" s="189"/>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31"/>
      <c r="AD172" s="31"/>
      <c r="AE172" s="31"/>
      <c r="AF172" s="31"/>
      <c r="AG172" s="31"/>
      <c r="AH172" s="32"/>
      <c r="AI172" s="33"/>
      <c r="AJ172" s="34"/>
      <c r="AK172" s="31"/>
      <c r="AL172" s="31"/>
      <c r="AM172" s="31"/>
    </row>
    <row r="173" customFormat="false" ht="14.25" hidden="false" customHeight="true" outlineLevel="0" collapsed="false">
      <c r="A173" s="31"/>
      <c r="B173" s="189"/>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31"/>
      <c r="AD173" s="31"/>
      <c r="AE173" s="31"/>
      <c r="AF173" s="31"/>
      <c r="AG173" s="31"/>
      <c r="AH173" s="32"/>
      <c r="AI173" s="33"/>
      <c r="AJ173" s="34"/>
      <c r="AK173" s="31"/>
      <c r="AL173" s="31"/>
      <c r="AM173" s="31"/>
    </row>
    <row r="174" customFormat="false" ht="14.25" hidden="false" customHeight="true" outlineLevel="0" collapsed="false">
      <c r="A174" s="31"/>
      <c r="B174" s="189"/>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31"/>
      <c r="AD174" s="31"/>
      <c r="AE174" s="31"/>
      <c r="AF174" s="31"/>
      <c r="AG174" s="31"/>
      <c r="AH174" s="32"/>
      <c r="AI174" s="33"/>
      <c r="AJ174" s="34"/>
      <c r="AK174" s="31"/>
      <c r="AL174" s="31"/>
      <c r="AM174" s="31"/>
    </row>
    <row r="175" customFormat="false" ht="14.25" hidden="false" customHeight="true" outlineLevel="0" collapsed="false">
      <c r="A175" s="31"/>
      <c r="B175" s="189"/>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31"/>
      <c r="AD175" s="31"/>
      <c r="AE175" s="31"/>
      <c r="AF175" s="31"/>
      <c r="AG175" s="31"/>
      <c r="AH175" s="32"/>
      <c r="AI175" s="33"/>
      <c r="AJ175" s="34"/>
      <c r="AK175" s="31"/>
      <c r="AL175" s="31"/>
      <c r="AM175" s="31"/>
    </row>
    <row r="176" customFormat="false" ht="14.25" hidden="false" customHeight="true" outlineLevel="0" collapsed="false">
      <c r="A176" s="31"/>
      <c r="B176" s="189"/>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31"/>
      <c r="AD176" s="31"/>
      <c r="AE176" s="31"/>
      <c r="AF176" s="31"/>
      <c r="AG176" s="31"/>
      <c r="AH176" s="32"/>
      <c r="AI176" s="33"/>
      <c r="AJ176" s="34"/>
      <c r="AK176" s="31"/>
      <c r="AL176" s="31"/>
      <c r="AM176" s="31"/>
    </row>
    <row r="177" customFormat="false" ht="14.25" hidden="false" customHeight="true" outlineLevel="0" collapsed="false">
      <c r="A177" s="31"/>
      <c r="B177" s="189"/>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31"/>
      <c r="AD177" s="31"/>
      <c r="AE177" s="31"/>
      <c r="AF177" s="31"/>
      <c r="AG177" s="31"/>
      <c r="AH177" s="32"/>
      <c r="AI177" s="33"/>
      <c r="AJ177" s="34"/>
      <c r="AK177" s="31"/>
      <c r="AL177" s="31"/>
      <c r="AM177" s="31"/>
    </row>
    <row r="178" customFormat="false" ht="14.25" hidden="false" customHeight="true" outlineLevel="0" collapsed="false">
      <c r="A178" s="31"/>
      <c r="B178" s="189"/>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31"/>
      <c r="AD178" s="31"/>
      <c r="AE178" s="31"/>
      <c r="AF178" s="31"/>
      <c r="AG178" s="31"/>
      <c r="AH178" s="32"/>
      <c r="AI178" s="33"/>
      <c r="AJ178" s="34"/>
      <c r="AK178" s="31"/>
      <c r="AL178" s="31"/>
      <c r="AM178" s="31"/>
    </row>
    <row r="179" customFormat="false" ht="14.25" hidden="false" customHeight="true" outlineLevel="0" collapsed="false">
      <c r="A179" s="31"/>
      <c r="B179" s="189"/>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31"/>
      <c r="AD179" s="31"/>
      <c r="AE179" s="31"/>
      <c r="AF179" s="31"/>
      <c r="AG179" s="31"/>
      <c r="AH179" s="32"/>
      <c r="AI179" s="33"/>
      <c r="AJ179" s="34"/>
      <c r="AK179" s="31"/>
      <c r="AL179" s="31"/>
      <c r="AM179" s="31"/>
    </row>
    <row r="180" customFormat="false" ht="14.25" hidden="false" customHeight="true" outlineLevel="0" collapsed="false">
      <c r="A180" s="31"/>
      <c r="B180" s="189"/>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31"/>
      <c r="AD180" s="31"/>
      <c r="AE180" s="31"/>
      <c r="AF180" s="31"/>
      <c r="AG180" s="31"/>
      <c r="AH180" s="32"/>
      <c r="AI180" s="33"/>
      <c r="AJ180" s="34"/>
      <c r="AK180" s="31"/>
      <c r="AL180" s="31"/>
      <c r="AM180" s="31"/>
    </row>
    <row r="181" customFormat="false" ht="14.25" hidden="false" customHeight="true" outlineLevel="0" collapsed="false">
      <c r="A181" s="31"/>
      <c r="B181" s="189"/>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31"/>
      <c r="AD181" s="31"/>
      <c r="AE181" s="31"/>
      <c r="AF181" s="31"/>
      <c r="AG181" s="31"/>
      <c r="AH181" s="32"/>
      <c r="AI181" s="33"/>
      <c r="AJ181" s="34"/>
      <c r="AK181" s="31"/>
      <c r="AL181" s="31"/>
      <c r="AM181" s="31"/>
    </row>
    <row r="182" customFormat="false" ht="14.25" hidden="false" customHeight="true" outlineLevel="0" collapsed="false">
      <c r="A182" s="31"/>
      <c r="B182" s="189"/>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31"/>
      <c r="AD182" s="31"/>
      <c r="AE182" s="31"/>
      <c r="AF182" s="31"/>
      <c r="AG182" s="31"/>
      <c r="AH182" s="32"/>
      <c r="AI182" s="33"/>
      <c r="AJ182" s="34"/>
      <c r="AK182" s="31"/>
      <c r="AL182" s="31"/>
      <c r="AM182" s="31"/>
    </row>
    <row r="183" customFormat="false" ht="14.25" hidden="false" customHeight="true" outlineLevel="0" collapsed="false">
      <c r="A183" s="31"/>
      <c r="B183" s="189"/>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31"/>
      <c r="AD183" s="31"/>
      <c r="AE183" s="31"/>
      <c r="AF183" s="31"/>
      <c r="AG183" s="31"/>
      <c r="AH183" s="32"/>
      <c r="AI183" s="33"/>
      <c r="AJ183" s="34"/>
      <c r="AK183" s="31"/>
      <c r="AL183" s="31"/>
      <c r="AM183" s="31"/>
    </row>
    <row r="184" customFormat="false" ht="14.25" hidden="false" customHeight="true" outlineLevel="0" collapsed="false">
      <c r="A184" s="31"/>
      <c r="B184" s="189"/>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31"/>
      <c r="AD184" s="31"/>
      <c r="AE184" s="31"/>
      <c r="AF184" s="31"/>
      <c r="AG184" s="31"/>
      <c r="AH184" s="32"/>
      <c r="AI184" s="33"/>
      <c r="AJ184" s="34"/>
      <c r="AK184" s="31"/>
      <c r="AL184" s="31"/>
      <c r="AM184" s="31"/>
    </row>
    <row r="185" customFormat="false" ht="14.25" hidden="false" customHeight="true" outlineLevel="0" collapsed="false">
      <c r="A185" s="31"/>
      <c r="B185" s="189"/>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31"/>
      <c r="AD185" s="31"/>
      <c r="AE185" s="31"/>
      <c r="AF185" s="31"/>
      <c r="AG185" s="31"/>
      <c r="AH185" s="32"/>
      <c r="AI185" s="33"/>
      <c r="AJ185" s="34"/>
      <c r="AK185" s="31"/>
      <c r="AL185" s="31"/>
      <c r="AM185" s="31"/>
    </row>
    <row r="186" customFormat="false" ht="14.25" hidden="false" customHeight="true" outlineLevel="0" collapsed="false">
      <c r="A186" s="31"/>
      <c r="B186" s="189"/>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31"/>
      <c r="AD186" s="31"/>
      <c r="AE186" s="31"/>
      <c r="AF186" s="31"/>
      <c r="AG186" s="31"/>
      <c r="AH186" s="32"/>
      <c r="AI186" s="33"/>
      <c r="AJ186" s="34"/>
      <c r="AK186" s="31"/>
      <c r="AL186" s="31"/>
      <c r="AM186" s="31"/>
    </row>
    <row r="187" customFormat="false" ht="14.25" hidden="false" customHeight="true" outlineLevel="0" collapsed="false">
      <c r="A187" s="31"/>
      <c r="B187" s="189"/>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31"/>
      <c r="AD187" s="31"/>
      <c r="AE187" s="31"/>
      <c r="AF187" s="31"/>
      <c r="AG187" s="31"/>
      <c r="AH187" s="32"/>
      <c r="AI187" s="33"/>
      <c r="AJ187" s="34"/>
      <c r="AK187" s="31"/>
      <c r="AL187" s="31"/>
      <c r="AM187" s="31"/>
    </row>
    <row r="188" customFormat="false" ht="14.25" hidden="false" customHeight="true" outlineLevel="0" collapsed="false">
      <c r="A188" s="31"/>
      <c r="B188" s="189"/>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31"/>
      <c r="AD188" s="31"/>
      <c r="AE188" s="31"/>
      <c r="AF188" s="31"/>
      <c r="AG188" s="31"/>
      <c r="AH188" s="32"/>
      <c r="AI188" s="33"/>
      <c r="AJ188" s="34"/>
      <c r="AK188" s="31"/>
      <c r="AL188" s="31"/>
      <c r="AM188" s="31"/>
    </row>
    <row r="189" customFormat="false" ht="14.25" hidden="false" customHeight="true" outlineLevel="0" collapsed="false">
      <c r="A189" s="31"/>
      <c r="B189" s="189"/>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31"/>
      <c r="AD189" s="31"/>
      <c r="AE189" s="31"/>
      <c r="AF189" s="31"/>
      <c r="AG189" s="31"/>
      <c r="AH189" s="32"/>
      <c r="AI189" s="33"/>
      <c r="AJ189" s="34"/>
      <c r="AK189" s="31"/>
      <c r="AL189" s="31"/>
      <c r="AM189" s="31"/>
    </row>
    <row r="190" customFormat="false" ht="14.25" hidden="false" customHeight="true" outlineLevel="0" collapsed="false">
      <c r="A190" s="31"/>
      <c r="B190" s="189"/>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31"/>
      <c r="AD190" s="31"/>
      <c r="AE190" s="31"/>
      <c r="AF190" s="31"/>
      <c r="AG190" s="31"/>
      <c r="AH190" s="32"/>
      <c r="AI190" s="33"/>
      <c r="AJ190" s="34"/>
      <c r="AK190" s="31"/>
      <c r="AL190" s="31"/>
      <c r="AM190" s="31"/>
    </row>
    <row r="191" customFormat="false" ht="14.25" hidden="false" customHeight="true" outlineLevel="0" collapsed="false">
      <c r="A191" s="31"/>
      <c r="B191" s="189"/>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31"/>
      <c r="AD191" s="31"/>
      <c r="AE191" s="31"/>
      <c r="AF191" s="31"/>
      <c r="AG191" s="31"/>
      <c r="AH191" s="32"/>
      <c r="AI191" s="33"/>
      <c r="AJ191" s="34"/>
      <c r="AK191" s="31"/>
      <c r="AL191" s="31"/>
      <c r="AM191" s="31"/>
    </row>
    <row r="192" customFormat="false" ht="14.25" hidden="false" customHeight="true" outlineLevel="0" collapsed="false">
      <c r="A192" s="31"/>
      <c r="B192" s="189"/>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31"/>
      <c r="AD192" s="31"/>
      <c r="AE192" s="31"/>
      <c r="AF192" s="31"/>
      <c r="AG192" s="31"/>
      <c r="AH192" s="32"/>
      <c r="AI192" s="33"/>
      <c r="AJ192" s="34"/>
      <c r="AK192" s="31"/>
      <c r="AL192" s="31"/>
      <c r="AM192" s="31"/>
    </row>
    <row r="193" customFormat="false" ht="14.25" hidden="false" customHeight="true" outlineLevel="0" collapsed="false">
      <c r="A193" s="31"/>
      <c r="B193" s="189"/>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31"/>
      <c r="AD193" s="31"/>
      <c r="AE193" s="31"/>
      <c r="AF193" s="31"/>
      <c r="AG193" s="31"/>
      <c r="AH193" s="32"/>
      <c r="AI193" s="33"/>
      <c r="AJ193" s="34"/>
      <c r="AK193" s="31"/>
      <c r="AL193" s="31"/>
      <c r="AM193" s="31"/>
    </row>
    <row r="194" customFormat="false" ht="14.25" hidden="false" customHeight="true" outlineLevel="0" collapsed="false">
      <c r="A194" s="31"/>
      <c r="B194" s="189"/>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31"/>
      <c r="AD194" s="31"/>
      <c r="AE194" s="31"/>
      <c r="AF194" s="31"/>
      <c r="AG194" s="31"/>
      <c r="AH194" s="32"/>
      <c r="AI194" s="33"/>
      <c r="AJ194" s="34"/>
      <c r="AK194" s="31"/>
      <c r="AL194" s="31"/>
      <c r="AM194" s="31"/>
    </row>
    <row r="195" customFormat="false" ht="14.25" hidden="false" customHeight="true" outlineLevel="0" collapsed="false">
      <c r="A195" s="31"/>
      <c r="B195" s="189"/>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31"/>
      <c r="AD195" s="31"/>
      <c r="AE195" s="31"/>
      <c r="AF195" s="31"/>
      <c r="AG195" s="31"/>
      <c r="AH195" s="32"/>
      <c r="AI195" s="33"/>
      <c r="AJ195" s="34"/>
      <c r="AK195" s="31"/>
      <c r="AL195" s="31"/>
      <c r="AM195" s="31"/>
    </row>
    <row r="196" customFormat="false" ht="14.25" hidden="false" customHeight="true" outlineLevel="0" collapsed="false">
      <c r="A196" s="31"/>
      <c r="B196" s="189"/>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31"/>
      <c r="AD196" s="31"/>
      <c r="AE196" s="31"/>
      <c r="AF196" s="31"/>
      <c r="AG196" s="31"/>
      <c r="AH196" s="32"/>
      <c r="AI196" s="33"/>
      <c r="AJ196" s="34"/>
      <c r="AK196" s="31"/>
      <c r="AL196" s="31"/>
      <c r="AM196" s="31"/>
    </row>
    <row r="197" customFormat="false" ht="14.25" hidden="false" customHeight="true" outlineLevel="0" collapsed="false">
      <c r="A197" s="31"/>
      <c r="B197" s="189"/>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31"/>
      <c r="AD197" s="31"/>
      <c r="AE197" s="31"/>
      <c r="AF197" s="31"/>
      <c r="AG197" s="31"/>
      <c r="AH197" s="32"/>
      <c r="AI197" s="33"/>
      <c r="AJ197" s="34"/>
      <c r="AK197" s="31"/>
      <c r="AL197" s="31"/>
      <c r="AM197" s="31"/>
    </row>
    <row r="198" customFormat="false" ht="14.25" hidden="false" customHeight="true" outlineLevel="0" collapsed="false">
      <c r="A198" s="31"/>
      <c r="B198" s="189"/>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31"/>
      <c r="AD198" s="31"/>
      <c r="AE198" s="31"/>
      <c r="AF198" s="31"/>
      <c r="AG198" s="31"/>
      <c r="AH198" s="32"/>
      <c r="AI198" s="33"/>
      <c r="AJ198" s="34"/>
      <c r="AK198" s="31"/>
      <c r="AL198" s="31"/>
      <c r="AM198" s="31"/>
    </row>
    <row r="199" customFormat="false" ht="14.25" hidden="false" customHeight="true" outlineLevel="0" collapsed="false">
      <c r="A199" s="31"/>
      <c r="B199" s="189"/>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31"/>
      <c r="AD199" s="31"/>
      <c r="AE199" s="31"/>
      <c r="AF199" s="31"/>
      <c r="AG199" s="31"/>
      <c r="AH199" s="32"/>
      <c r="AI199" s="33"/>
      <c r="AJ199" s="34"/>
      <c r="AK199" s="31"/>
      <c r="AL199" s="31"/>
      <c r="AM199" s="31"/>
    </row>
    <row r="200" customFormat="false" ht="14.25" hidden="false" customHeight="true" outlineLevel="0" collapsed="false">
      <c r="A200" s="31"/>
      <c r="B200" s="189"/>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31"/>
      <c r="AD200" s="31"/>
      <c r="AE200" s="31"/>
      <c r="AF200" s="31"/>
      <c r="AG200" s="31"/>
      <c r="AH200" s="32"/>
      <c r="AI200" s="33"/>
      <c r="AJ200" s="34"/>
      <c r="AK200" s="31"/>
      <c r="AL200" s="31"/>
      <c r="AM200" s="31"/>
    </row>
    <row r="201" customFormat="false" ht="14.25" hidden="false" customHeight="true" outlineLevel="0" collapsed="false">
      <c r="A201" s="31"/>
      <c r="B201" s="189"/>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31"/>
      <c r="AD201" s="31"/>
      <c r="AE201" s="31"/>
      <c r="AF201" s="31"/>
      <c r="AG201" s="31"/>
      <c r="AH201" s="32"/>
      <c r="AI201" s="33"/>
      <c r="AJ201" s="34"/>
      <c r="AK201" s="31"/>
      <c r="AL201" s="31"/>
      <c r="AM201" s="31"/>
    </row>
    <row r="202" customFormat="false" ht="14.25" hidden="false" customHeight="true" outlineLevel="0" collapsed="false">
      <c r="A202" s="31"/>
      <c r="B202" s="189"/>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31"/>
      <c r="AD202" s="31"/>
      <c r="AE202" s="31"/>
      <c r="AF202" s="31"/>
      <c r="AG202" s="31"/>
      <c r="AH202" s="32"/>
      <c r="AI202" s="33"/>
      <c r="AJ202" s="34"/>
      <c r="AK202" s="31"/>
      <c r="AL202" s="31"/>
      <c r="AM202" s="31"/>
    </row>
    <row r="203" customFormat="false" ht="14.25" hidden="false" customHeight="true" outlineLevel="0" collapsed="false">
      <c r="A203" s="31"/>
      <c r="B203" s="189"/>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31"/>
      <c r="AD203" s="31"/>
      <c r="AE203" s="31"/>
      <c r="AF203" s="31"/>
      <c r="AG203" s="31"/>
      <c r="AH203" s="32"/>
      <c r="AI203" s="33"/>
      <c r="AJ203" s="34"/>
      <c r="AK203" s="31"/>
      <c r="AL203" s="31"/>
      <c r="AM203" s="31"/>
    </row>
    <row r="204" customFormat="false" ht="14.25" hidden="false" customHeight="true" outlineLevel="0" collapsed="false">
      <c r="A204" s="31"/>
      <c r="B204" s="189"/>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31"/>
      <c r="AD204" s="31"/>
      <c r="AE204" s="31"/>
      <c r="AF204" s="31"/>
      <c r="AG204" s="31"/>
      <c r="AH204" s="32"/>
      <c r="AI204" s="33"/>
      <c r="AJ204" s="34"/>
      <c r="AK204" s="31"/>
      <c r="AL204" s="31"/>
      <c r="AM204" s="31"/>
    </row>
    <row r="205" customFormat="false" ht="14.25" hidden="false" customHeight="true" outlineLevel="0" collapsed="false">
      <c r="A205" s="31"/>
      <c r="B205" s="189"/>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31"/>
      <c r="AD205" s="31"/>
      <c r="AE205" s="31"/>
      <c r="AF205" s="31"/>
      <c r="AG205" s="31"/>
      <c r="AH205" s="32"/>
      <c r="AI205" s="33"/>
      <c r="AJ205" s="34"/>
      <c r="AK205" s="31"/>
      <c r="AL205" s="31"/>
      <c r="AM205" s="31"/>
    </row>
    <row r="206" customFormat="false" ht="14.25" hidden="false" customHeight="true" outlineLevel="0" collapsed="false">
      <c r="A206" s="31"/>
      <c r="B206" s="189"/>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31"/>
      <c r="AD206" s="31"/>
      <c r="AE206" s="31"/>
      <c r="AF206" s="31"/>
      <c r="AG206" s="31"/>
      <c r="AH206" s="32"/>
      <c r="AI206" s="33"/>
      <c r="AJ206" s="34"/>
      <c r="AK206" s="31"/>
      <c r="AL206" s="31"/>
      <c r="AM206" s="31"/>
    </row>
    <row r="207" customFormat="false" ht="14.25" hidden="false" customHeight="true" outlineLevel="0" collapsed="false">
      <c r="A207" s="31"/>
      <c r="B207" s="189"/>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31"/>
      <c r="AD207" s="31"/>
      <c r="AE207" s="31"/>
      <c r="AF207" s="31"/>
      <c r="AG207" s="31"/>
      <c r="AH207" s="32"/>
      <c r="AI207" s="33"/>
      <c r="AJ207" s="34"/>
      <c r="AK207" s="31"/>
      <c r="AL207" s="31"/>
      <c r="AM207" s="31"/>
    </row>
    <row r="208" customFormat="false" ht="14.25" hidden="false" customHeight="true" outlineLevel="0" collapsed="false">
      <c r="A208" s="31"/>
      <c r="B208" s="189"/>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31"/>
      <c r="AD208" s="31"/>
      <c r="AE208" s="31"/>
      <c r="AF208" s="31"/>
      <c r="AG208" s="31"/>
      <c r="AH208" s="32"/>
      <c r="AI208" s="33"/>
      <c r="AJ208" s="34"/>
      <c r="AK208" s="31"/>
      <c r="AL208" s="31"/>
      <c r="AM208" s="31"/>
    </row>
    <row r="209" customFormat="false" ht="14.25" hidden="false" customHeight="true" outlineLevel="0" collapsed="false">
      <c r="A209" s="31"/>
      <c r="B209" s="189"/>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31"/>
      <c r="AD209" s="31"/>
      <c r="AE209" s="31"/>
      <c r="AF209" s="31"/>
      <c r="AG209" s="31"/>
      <c r="AH209" s="32"/>
      <c r="AI209" s="33"/>
      <c r="AJ209" s="34"/>
      <c r="AK209" s="31"/>
      <c r="AL209" s="31"/>
      <c r="AM209" s="31"/>
    </row>
    <row r="210" customFormat="false" ht="14.25" hidden="false" customHeight="true" outlineLevel="0" collapsed="false">
      <c r="A210" s="31"/>
      <c r="B210" s="189"/>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31"/>
      <c r="AD210" s="31"/>
      <c r="AE210" s="31"/>
      <c r="AF210" s="31"/>
      <c r="AG210" s="31"/>
      <c r="AH210" s="32"/>
      <c r="AI210" s="33"/>
      <c r="AJ210" s="34"/>
      <c r="AK210" s="31"/>
      <c r="AL210" s="31"/>
      <c r="AM210" s="31"/>
    </row>
    <row r="211" customFormat="false" ht="14.25" hidden="false" customHeight="true" outlineLevel="0" collapsed="false">
      <c r="A211" s="31"/>
      <c r="B211" s="189"/>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31"/>
      <c r="AD211" s="31"/>
      <c r="AE211" s="31"/>
      <c r="AF211" s="31"/>
      <c r="AG211" s="31"/>
      <c r="AH211" s="32"/>
      <c r="AI211" s="33"/>
      <c r="AJ211" s="34"/>
      <c r="AK211" s="31"/>
      <c r="AL211" s="31"/>
      <c r="AM211" s="31"/>
    </row>
    <row r="212" customFormat="false" ht="14.25" hidden="false" customHeight="true" outlineLevel="0" collapsed="false">
      <c r="A212" s="31"/>
      <c r="B212" s="189"/>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31"/>
      <c r="AD212" s="31"/>
      <c r="AE212" s="31"/>
      <c r="AF212" s="31"/>
      <c r="AG212" s="31"/>
      <c r="AH212" s="32"/>
      <c r="AI212" s="33"/>
      <c r="AJ212" s="34"/>
      <c r="AK212" s="31"/>
      <c r="AL212" s="31"/>
      <c r="AM212" s="31"/>
    </row>
    <row r="213" customFormat="false" ht="14.25" hidden="false" customHeight="true" outlineLevel="0" collapsed="false">
      <c r="A213" s="31"/>
      <c r="B213" s="189"/>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31"/>
      <c r="AD213" s="31"/>
      <c r="AE213" s="31"/>
      <c r="AF213" s="31"/>
      <c r="AG213" s="31"/>
      <c r="AH213" s="32"/>
      <c r="AI213" s="33"/>
      <c r="AJ213" s="34"/>
      <c r="AK213" s="31"/>
      <c r="AL213" s="31"/>
      <c r="AM213" s="31"/>
    </row>
    <row r="214" customFormat="false" ht="14.25" hidden="false" customHeight="true" outlineLevel="0" collapsed="false">
      <c r="A214" s="31"/>
      <c r="B214" s="189"/>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31"/>
      <c r="AD214" s="31"/>
      <c r="AE214" s="31"/>
      <c r="AF214" s="31"/>
      <c r="AG214" s="31"/>
      <c r="AH214" s="32"/>
      <c r="AI214" s="33"/>
      <c r="AJ214" s="34"/>
      <c r="AK214" s="31"/>
      <c r="AL214" s="31"/>
      <c r="AM214" s="31"/>
    </row>
    <row r="215" customFormat="false" ht="14.25" hidden="false" customHeight="true" outlineLevel="0" collapsed="false">
      <c r="A215" s="31"/>
      <c r="B215" s="189"/>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31"/>
      <c r="AD215" s="31"/>
      <c r="AE215" s="31"/>
      <c r="AF215" s="31"/>
      <c r="AG215" s="31"/>
      <c r="AH215" s="32"/>
      <c r="AI215" s="33"/>
      <c r="AJ215" s="34"/>
      <c r="AK215" s="31"/>
      <c r="AL215" s="31"/>
      <c r="AM215" s="31"/>
    </row>
    <row r="216" customFormat="false" ht="14.25" hidden="false" customHeight="true" outlineLevel="0" collapsed="false">
      <c r="A216" s="31"/>
      <c r="B216" s="189"/>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31"/>
      <c r="AD216" s="31"/>
      <c r="AE216" s="31"/>
      <c r="AF216" s="31"/>
      <c r="AG216" s="31"/>
      <c r="AH216" s="32"/>
      <c r="AI216" s="33"/>
      <c r="AJ216" s="34"/>
      <c r="AK216" s="31"/>
      <c r="AL216" s="31"/>
      <c r="AM216" s="31"/>
    </row>
    <row r="217" customFormat="false" ht="14.25" hidden="false" customHeight="true" outlineLevel="0" collapsed="false">
      <c r="A217" s="31"/>
      <c r="B217" s="189"/>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31"/>
      <c r="AD217" s="31"/>
      <c r="AE217" s="31"/>
      <c r="AF217" s="31"/>
      <c r="AG217" s="31"/>
      <c r="AH217" s="32"/>
      <c r="AI217" s="33"/>
      <c r="AJ217" s="34"/>
      <c r="AK217" s="31"/>
      <c r="AL217" s="31"/>
      <c r="AM217" s="31"/>
    </row>
    <row r="218" customFormat="false" ht="14.25" hidden="false" customHeight="true" outlineLevel="0" collapsed="false">
      <c r="A218" s="31"/>
      <c r="B218" s="189"/>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31"/>
      <c r="AD218" s="31"/>
      <c r="AE218" s="31"/>
      <c r="AF218" s="31"/>
      <c r="AG218" s="31"/>
      <c r="AH218" s="32"/>
      <c r="AI218" s="33"/>
      <c r="AJ218" s="34"/>
      <c r="AK218" s="31"/>
      <c r="AL218" s="31"/>
      <c r="AM218" s="31"/>
    </row>
    <row r="219" customFormat="false" ht="14.25" hidden="false" customHeight="true" outlineLevel="0" collapsed="false">
      <c r="A219" s="31"/>
      <c r="B219" s="189"/>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31"/>
      <c r="AD219" s="31"/>
      <c r="AE219" s="31"/>
      <c r="AF219" s="31"/>
      <c r="AG219" s="31"/>
      <c r="AH219" s="32"/>
      <c r="AI219" s="33"/>
      <c r="AJ219" s="34"/>
      <c r="AK219" s="31"/>
      <c r="AL219" s="31"/>
      <c r="AM219" s="31"/>
    </row>
    <row r="220" customFormat="false" ht="14.25" hidden="false" customHeight="true" outlineLevel="0" collapsed="false">
      <c r="A220" s="31"/>
      <c r="B220" s="189"/>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31"/>
      <c r="AD220" s="31"/>
      <c r="AE220" s="31"/>
      <c r="AF220" s="31"/>
      <c r="AG220" s="31"/>
      <c r="AH220" s="32"/>
      <c r="AI220" s="33"/>
      <c r="AJ220" s="34"/>
      <c r="AK220" s="31"/>
      <c r="AL220" s="31"/>
      <c r="AM220" s="31"/>
    </row>
    <row r="221" customFormat="false" ht="14.25" hidden="false" customHeight="true" outlineLevel="0" collapsed="false">
      <c r="A221" s="31"/>
      <c r="B221" s="189"/>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31"/>
      <c r="AD221" s="31"/>
      <c r="AE221" s="31"/>
      <c r="AF221" s="31"/>
      <c r="AG221" s="31"/>
      <c r="AH221" s="32"/>
      <c r="AI221" s="33"/>
      <c r="AJ221" s="34"/>
      <c r="AK221" s="31"/>
      <c r="AL221" s="31"/>
      <c r="AM221" s="31"/>
    </row>
    <row r="222" customFormat="false" ht="14.25" hidden="false" customHeight="true" outlineLevel="0" collapsed="false">
      <c r="A222" s="31"/>
      <c r="B222" s="189"/>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31"/>
      <c r="AD222" s="31"/>
      <c r="AE222" s="31"/>
      <c r="AF222" s="31"/>
      <c r="AG222" s="31"/>
      <c r="AH222" s="32"/>
      <c r="AI222" s="33"/>
      <c r="AJ222" s="34"/>
      <c r="AK222" s="31"/>
      <c r="AL222" s="31"/>
      <c r="AM222" s="31"/>
    </row>
    <row r="223" customFormat="false" ht="14.25" hidden="false" customHeight="true" outlineLevel="0" collapsed="false">
      <c r="A223" s="31"/>
      <c r="B223" s="189"/>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31"/>
      <c r="AD223" s="31"/>
      <c r="AE223" s="31"/>
      <c r="AF223" s="31"/>
      <c r="AG223" s="31"/>
      <c r="AH223" s="32"/>
      <c r="AI223" s="33"/>
      <c r="AJ223" s="34"/>
      <c r="AK223" s="31"/>
      <c r="AL223" s="31"/>
      <c r="AM223" s="31"/>
    </row>
    <row r="224" customFormat="false" ht="14.25" hidden="false" customHeight="true" outlineLevel="0" collapsed="false">
      <c r="A224" s="31"/>
      <c r="B224" s="189"/>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31"/>
      <c r="AD224" s="31"/>
      <c r="AE224" s="31"/>
      <c r="AF224" s="31"/>
      <c r="AG224" s="31"/>
      <c r="AH224" s="32"/>
      <c r="AI224" s="33"/>
      <c r="AJ224" s="34"/>
      <c r="AK224" s="31"/>
      <c r="AL224" s="31"/>
      <c r="AM224" s="31"/>
    </row>
    <row r="225" customFormat="false" ht="14.25" hidden="false" customHeight="true" outlineLevel="0" collapsed="false">
      <c r="A225" s="31"/>
      <c r="B225" s="189"/>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31"/>
      <c r="AD225" s="31"/>
      <c r="AE225" s="31"/>
      <c r="AF225" s="31"/>
      <c r="AG225" s="31"/>
      <c r="AH225" s="32"/>
      <c r="AI225" s="33"/>
      <c r="AJ225" s="34"/>
      <c r="AK225" s="31"/>
      <c r="AL225" s="31"/>
      <c r="AM225" s="31"/>
    </row>
    <row r="226" customFormat="false" ht="14.25" hidden="false" customHeight="true" outlineLevel="0" collapsed="false">
      <c r="A226" s="31"/>
      <c r="B226" s="189"/>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31"/>
      <c r="AD226" s="31"/>
      <c r="AE226" s="31"/>
      <c r="AF226" s="31"/>
      <c r="AG226" s="31"/>
      <c r="AH226" s="32"/>
      <c r="AI226" s="33"/>
      <c r="AJ226" s="34"/>
      <c r="AK226" s="31"/>
      <c r="AL226" s="31"/>
      <c r="AM226" s="31"/>
    </row>
    <row r="227" customFormat="false" ht="14.25" hidden="false" customHeight="true" outlineLevel="0" collapsed="false">
      <c r="A227" s="31"/>
      <c r="B227" s="189"/>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31"/>
      <c r="AD227" s="31"/>
      <c r="AE227" s="31"/>
      <c r="AF227" s="31"/>
      <c r="AG227" s="31"/>
      <c r="AH227" s="32"/>
      <c r="AI227" s="33"/>
      <c r="AJ227" s="34"/>
      <c r="AK227" s="31"/>
      <c r="AL227" s="31"/>
      <c r="AM227" s="31"/>
    </row>
    <row r="228" customFormat="false" ht="14.25" hidden="false" customHeight="true" outlineLevel="0" collapsed="false">
      <c r="A228" s="31"/>
      <c r="B228" s="189"/>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31"/>
      <c r="AD228" s="31"/>
      <c r="AE228" s="31"/>
      <c r="AF228" s="31"/>
      <c r="AG228" s="31"/>
      <c r="AH228" s="32"/>
      <c r="AI228" s="33"/>
      <c r="AJ228" s="34"/>
      <c r="AK228" s="31"/>
      <c r="AL228" s="31"/>
      <c r="AM228" s="31"/>
    </row>
    <row r="229" customFormat="false" ht="14.25" hidden="false" customHeight="true" outlineLevel="0" collapsed="false">
      <c r="A229" s="31"/>
      <c r="B229" s="189"/>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31"/>
      <c r="AD229" s="31"/>
      <c r="AE229" s="31"/>
      <c r="AF229" s="31"/>
      <c r="AG229" s="31"/>
      <c r="AH229" s="32"/>
      <c r="AI229" s="33"/>
      <c r="AJ229" s="34"/>
      <c r="AK229" s="31"/>
      <c r="AL229" s="31"/>
      <c r="AM229" s="31"/>
    </row>
    <row r="230" customFormat="false" ht="14.25" hidden="false" customHeight="true" outlineLevel="0" collapsed="false">
      <c r="A230" s="31"/>
      <c r="B230" s="189"/>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31"/>
      <c r="AD230" s="31"/>
      <c r="AE230" s="31"/>
      <c r="AF230" s="31"/>
      <c r="AG230" s="31"/>
      <c r="AH230" s="32"/>
      <c r="AI230" s="33"/>
      <c r="AJ230" s="34"/>
      <c r="AK230" s="31"/>
      <c r="AL230" s="31"/>
      <c r="AM230" s="31"/>
    </row>
    <row r="231" customFormat="false" ht="14.25" hidden="false" customHeight="true" outlineLevel="0" collapsed="false">
      <c r="A231" s="31"/>
      <c r="B231" s="189"/>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31"/>
      <c r="AD231" s="31"/>
      <c r="AE231" s="31"/>
      <c r="AF231" s="31"/>
      <c r="AG231" s="31"/>
      <c r="AH231" s="32"/>
      <c r="AI231" s="33"/>
      <c r="AJ231" s="34"/>
      <c r="AK231" s="31"/>
      <c r="AL231" s="31"/>
      <c r="AM231" s="31"/>
    </row>
    <row r="232" customFormat="false" ht="14.25" hidden="false" customHeight="true" outlineLevel="0" collapsed="false">
      <c r="A232" s="31"/>
      <c r="B232" s="189"/>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31"/>
      <c r="AD232" s="31"/>
      <c r="AE232" s="31"/>
      <c r="AF232" s="31"/>
      <c r="AG232" s="31"/>
      <c r="AH232" s="32"/>
      <c r="AI232" s="33"/>
      <c r="AJ232" s="34"/>
      <c r="AK232" s="31"/>
      <c r="AL232" s="31"/>
      <c r="AM232" s="31"/>
    </row>
    <row r="233" customFormat="false" ht="14.25" hidden="false" customHeight="true" outlineLevel="0" collapsed="false">
      <c r="A233" s="31"/>
      <c r="B233" s="189"/>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31"/>
      <c r="AD233" s="31"/>
      <c r="AE233" s="31"/>
      <c r="AF233" s="31"/>
      <c r="AG233" s="31"/>
      <c r="AH233" s="32"/>
      <c r="AI233" s="33"/>
      <c r="AJ233" s="34"/>
      <c r="AK233" s="31"/>
      <c r="AL233" s="31"/>
      <c r="AM233" s="31"/>
    </row>
    <row r="234" customFormat="false" ht="14.25" hidden="false" customHeight="true" outlineLevel="0" collapsed="false">
      <c r="A234" s="31"/>
      <c r="B234" s="189"/>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31"/>
      <c r="AD234" s="31"/>
      <c r="AE234" s="31"/>
      <c r="AF234" s="31"/>
      <c r="AG234" s="31"/>
      <c r="AH234" s="32"/>
      <c r="AI234" s="33"/>
      <c r="AJ234" s="34"/>
      <c r="AK234" s="31"/>
      <c r="AL234" s="31"/>
      <c r="AM234" s="31"/>
    </row>
    <row r="235" customFormat="false" ht="14.25" hidden="false" customHeight="true" outlineLevel="0" collapsed="false">
      <c r="A235" s="31"/>
      <c r="B235" s="189"/>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31"/>
      <c r="AD235" s="31"/>
      <c r="AE235" s="31"/>
      <c r="AF235" s="31"/>
      <c r="AG235" s="31"/>
      <c r="AH235" s="32"/>
      <c r="AI235" s="33"/>
      <c r="AJ235" s="34"/>
      <c r="AK235" s="31"/>
      <c r="AL235" s="31"/>
      <c r="AM235" s="31"/>
    </row>
    <row r="236" customFormat="false" ht="14.25" hidden="false" customHeight="true" outlineLevel="0" collapsed="false">
      <c r="A236" s="31"/>
      <c r="B236" s="189"/>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31"/>
      <c r="AD236" s="31"/>
      <c r="AE236" s="31"/>
      <c r="AF236" s="31"/>
      <c r="AG236" s="31"/>
      <c r="AH236" s="32"/>
      <c r="AI236" s="33"/>
      <c r="AJ236" s="34"/>
      <c r="AK236" s="31"/>
      <c r="AL236" s="31"/>
      <c r="AM236" s="31"/>
    </row>
    <row r="237" customFormat="false" ht="14.25" hidden="false" customHeight="true" outlineLevel="0" collapsed="false">
      <c r="A237" s="31"/>
      <c r="B237" s="189"/>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31"/>
      <c r="AD237" s="31"/>
      <c r="AE237" s="31"/>
      <c r="AF237" s="31"/>
      <c r="AG237" s="31"/>
      <c r="AH237" s="32"/>
      <c r="AI237" s="33"/>
      <c r="AJ237" s="34"/>
      <c r="AK237" s="31"/>
      <c r="AL237" s="31"/>
      <c r="AM237" s="31"/>
    </row>
    <row r="238" customFormat="false" ht="14.25" hidden="false" customHeight="true" outlineLevel="0" collapsed="false">
      <c r="A238" s="31"/>
      <c r="B238" s="189"/>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31"/>
      <c r="AD238" s="31"/>
      <c r="AE238" s="31"/>
      <c r="AF238" s="31"/>
      <c r="AG238" s="31"/>
      <c r="AH238" s="32"/>
      <c r="AI238" s="33"/>
      <c r="AJ238" s="34"/>
      <c r="AK238" s="31"/>
      <c r="AL238" s="31"/>
      <c r="AM238" s="31"/>
    </row>
    <row r="239" customFormat="false" ht="14.25" hidden="false" customHeight="true" outlineLevel="0" collapsed="false">
      <c r="A239" s="31"/>
      <c r="B239" s="189"/>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31"/>
      <c r="AD239" s="31"/>
      <c r="AE239" s="31"/>
      <c r="AF239" s="31"/>
      <c r="AG239" s="31"/>
      <c r="AH239" s="32"/>
      <c r="AI239" s="33"/>
      <c r="AJ239" s="34"/>
      <c r="AK239" s="31"/>
      <c r="AL239" s="31"/>
      <c r="AM239" s="31"/>
    </row>
    <row r="240" customFormat="false" ht="14.25" hidden="false" customHeight="true" outlineLevel="0" collapsed="false">
      <c r="A240" s="31"/>
      <c r="B240" s="189"/>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31"/>
      <c r="AD240" s="31"/>
      <c r="AE240" s="31"/>
      <c r="AF240" s="31"/>
      <c r="AG240" s="31"/>
      <c r="AH240" s="32"/>
      <c r="AI240" s="33"/>
      <c r="AJ240" s="34"/>
      <c r="AK240" s="31"/>
      <c r="AL240" s="31"/>
      <c r="AM240" s="31"/>
    </row>
    <row r="241" customFormat="false" ht="14.25" hidden="false" customHeight="true" outlineLevel="0" collapsed="false">
      <c r="A241" s="31"/>
      <c r="B241" s="189"/>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31"/>
      <c r="AD241" s="31"/>
      <c r="AE241" s="31"/>
      <c r="AF241" s="31"/>
      <c r="AG241" s="31"/>
      <c r="AH241" s="32"/>
      <c r="AI241" s="33"/>
      <c r="AJ241" s="34"/>
      <c r="AK241" s="31"/>
      <c r="AL241" s="31"/>
      <c r="AM241" s="31"/>
    </row>
    <row r="242" customFormat="false" ht="14.25" hidden="false" customHeight="true" outlineLevel="0" collapsed="false">
      <c r="A242" s="31"/>
      <c r="B242" s="189"/>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31"/>
      <c r="AD242" s="31"/>
      <c r="AE242" s="31"/>
      <c r="AF242" s="31"/>
      <c r="AG242" s="31"/>
      <c r="AH242" s="32"/>
      <c r="AI242" s="33"/>
      <c r="AJ242" s="34"/>
      <c r="AK242" s="31"/>
      <c r="AL242" s="31"/>
      <c r="AM242" s="31"/>
    </row>
    <row r="243" customFormat="false" ht="14.25" hidden="false" customHeight="true" outlineLevel="0" collapsed="false">
      <c r="A243" s="31"/>
      <c r="B243" s="189"/>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31"/>
      <c r="AD243" s="31"/>
      <c r="AE243" s="31"/>
      <c r="AF243" s="31"/>
      <c r="AG243" s="31"/>
      <c r="AH243" s="32"/>
      <c r="AI243" s="33"/>
      <c r="AJ243" s="34"/>
      <c r="AK243" s="31"/>
      <c r="AL243" s="31"/>
      <c r="AM243" s="31"/>
    </row>
    <row r="244" customFormat="false" ht="14.25" hidden="false" customHeight="true" outlineLevel="0" collapsed="false">
      <c r="A244" s="31"/>
      <c r="B244" s="189"/>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31"/>
      <c r="AD244" s="31"/>
      <c r="AE244" s="31"/>
      <c r="AF244" s="31"/>
      <c r="AG244" s="31"/>
      <c r="AH244" s="32"/>
      <c r="AI244" s="33"/>
      <c r="AJ244" s="34"/>
      <c r="AK244" s="31"/>
      <c r="AL244" s="31"/>
      <c r="AM244" s="31"/>
    </row>
    <row r="245" customFormat="false" ht="14.25" hidden="false" customHeight="true" outlineLevel="0" collapsed="false">
      <c r="A245" s="31"/>
      <c r="B245" s="189"/>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31"/>
      <c r="AD245" s="31"/>
      <c r="AE245" s="31"/>
      <c r="AF245" s="31"/>
      <c r="AG245" s="31"/>
      <c r="AH245" s="32"/>
      <c r="AI245" s="33"/>
      <c r="AJ245" s="34"/>
      <c r="AK245" s="31"/>
      <c r="AL245" s="31"/>
      <c r="AM245" s="31"/>
    </row>
    <row r="246" customFormat="false" ht="14.25" hidden="false" customHeight="true" outlineLevel="0" collapsed="false">
      <c r="A246" s="31"/>
      <c r="B246" s="189"/>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31"/>
      <c r="AD246" s="31"/>
      <c r="AE246" s="31"/>
      <c r="AF246" s="31"/>
      <c r="AG246" s="31"/>
      <c r="AH246" s="32"/>
      <c r="AI246" s="33"/>
      <c r="AJ246" s="34"/>
      <c r="AK246" s="31"/>
      <c r="AL246" s="31"/>
      <c r="AM246" s="31"/>
    </row>
    <row r="247" customFormat="false" ht="14.25" hidden="false" customHeight="true" outlineLevel="0" collapsed="false">
      <c r="A247" s="31"/>
      <c r="B247" s="189"/>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31"/>
      <c r="AD247" s="31"/>
      <c r="AE247" s="31"/>
      <c r="AF247" s="31"/>
      <c r="AG247" s="31"/>
      <c r="AH247" s="32"/>
      <c r="AI247" s="33"/>
      <c r="AJ247" s="34"/>
      <c r="AK247" s="31"/>
      <c r="AL247" s="31"/>
      <c r="AM247" s="31"/>
    </row>
    <row r="248" customFormat="false" ht="14.25" hidden="false" customHeight="true" outlineLevel="0" collapsed="false">
      <c r="A248" s="31"/>
      <c r="B248" s="189"/>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31"/>
      <c r="AD248" s="31"/>
      <c r="AE248" s="31"/>
      <c r="AF248" s="31"/>
      <c r="AG248" s="31"/>
      <c r="AH248" s="32"/>
      <c r="AI248" s="33"/>
      <c r="AJ248" s="34"/>
      <c r="AK248" s="31"/>
      <c r="AL248" s="31"/>
      <c r="AM248" s="31"/>
    </row>
    <row r="249" customFormat="false" ht="14.25" hidden="false" customHeight="true" outlineLevel="0" collapsed="false">
      <c r="A249" s="31"/>
      <c r="B249" s="189"/>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31"/>
      <c r="AD249" s="31"/>
      <c r="AE249" s="31"/>
      <c r="AF249" s="31"/>
      <c r="AG249" s="31"/>
      <c r="AH249" s="32"/>
      <c r="AI249" s="33"/>
      <c r="AJ249" s="34"/>
      <c r="AK249" s="31"/>
      <c r="AL249" s="31"/>
      <c r="AM249" s="31"/>
    </row>
    <row r="250" customFormat="false" ht="14.25" hidden="false" customHeight="true" outlineLevel="0" collapsed="false">
      <c r="A250" s="31"/>
      <c r="B250" s="189"/>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31"/>
      <c r="AD250" s="31"/>
      <c r="AE250" s="31"/>
      <c r="AF250" s="31"/>
      <c r="AG250" s="31"/>
      <c r="AH250" s="32"/>
      <c r="AI250" s="33"/>
      <c r="AJ250" s="34"/>
      <c r="AK250" s="31"/>
      <c r="AL250" s="31"/>
      <c r="AM250" s="31"/>
    </row>
    <row r="251" customFormat="false" ht="14.25" hidden="false" customHeight="true" outlineLevel="0" collapsed="false">
      <c r="A251" s="31"/>
      <c r="B251" s="189"/>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31"/>
      <c r="AD251" s="31"/>
      <c r="AE251" s="31"/>
      <c r="AF251" s="31"/>
      <c r="AG251" s="31"/>
      <c r="AH251" s="32"/>
      <c r="AI251" s="33"/>
      <c r="AJ251" s="34"/>
      <c r="AK251" s="31"/>
      <c r="AL251" s="31"/>
      <c r="AM251" s="31"/>
    </row>
    <row r="252" customFormat="false" ht="14.25" hidden="false" customHeight="true" outlineLevel="0" collapsed="false">
      <c r="A252" s="31"/>
      <c r="B252" s="189"/>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31"/>
      <c r="AD252" s="31"/>
      <c r="AE252" s="31"/>
      <c r="AF252" s="31"/>
      <c r="AG252" s="31"/>
      <c r="AH252" s="32"/>
      <c r="AI252" s="33"/>
      <c r="AJ252" s="34"/>
      <c r="AK252" s="31"/>
      <c r="AL252" s="31"/>
      <c r="AM252" s="31"/>
    </row>
    <row r="253" customFormat="false" ht="14.25" hidden="false" customHeight="true" outlineLevel="0" collapsed="false">
      <c r="A253" s="31"/>
      <c r="B253" s="189"/>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31"/>
      <c r="AD253" s="31"/>
      <c r="AE253" s="31"/>
      <c r="AF253" s="31"/>
      <c r="AG253" s="31"/>
      <c r="AH253" s="32"/>
      <c r="AI253" s="33"/>
      <c r="AJ253" s="34"/>
      <c r="AK253" s="31"/>
      <c r="AL253" s="31"/>
      <c r="AM253" s="31"/>
    </row>
    <row r="254" customFormat="false" ht="14.25" hidden="false" customHeight="true" outlineLevel="0" collapsed="false">
      <c r="A254" s="31"/>
      <c r="B254" s="189"/>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31"/>
      <c r="AD254" s="31"/>
      <c r="AE254" s="31"/>
      <c r="AF254" s="31"/>
      <c r="AG254" s="31"/>
      <c r="AH254" s="32"/>
      <c r="AI254" s="33"/>
      <c r="AJ254" s="34"/>
      <c r="AK254" s="31"/>
      <c r="AL254" s="31"/>
      <c r="AM254" s="31"/>
    </row>
    <row r="255" customFormat="false" ht="14.25" hidden="false" customHeight="true" outlineLevel="0" collapsed="false">
      <c r="A255" s="31"/>
      <c r="B255" s="189"/>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31"/>
      <c r="AD255" s="31"/>
      <c r="AE255" s="31"/>
      <c r="AF255" s="31"/>
      <c r="AG255" s="31"/>
      <c r="AH255" s="32"/>
      <c r="AI255" s="33"/>
      <c r="AJ255" s="34"/>
      <c r="AK255" s="31"/>
      <c r="AL255" s="31"/>
      <c r="AM255" s="31"/>
    </row>
    <row r="256" customFormat="false" ht="14.25" hidden="false" customHeight="true" outlineLevel="0" collapsed="false">
      <c r="A256" s="31"/>
      <c r="B256" s="189"/>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31"/>
      <c r="AD256" s="31"/>
      <c r="AE256" s="31"/>
      <c r="AF256" s="31"/>
      <c r="AG256" s="31"/>
      <c r="AH256" s="32"/>
      <c r="AI256" s="33"/>
      <c r="AJ256" s="34"/>
      <c r="AK256" s="31"/>
      <c r="AL256" s="31"/>
      <c r="AM256" s="31"/>
    </row>
    <row r="257" customFormat="false" ht="14.25" hidden="false" customHeight="true" outlineLevel="0" collapsed="false">
      <c r="A257" s="31"/>
      <c r="B257" s="189"/>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31"/>
      <c r="AD257" s="31"/>
      <c r="AE257" s="31"/>
      <c r="AF257" s="31"/>
      <c r="AG257" s="31"/>
      <c r="AH257" s="32"/>
      <c r="AI257" s="33"/>
      <c r="AJ257" s="34"/>
      <c r="AK257" s="31"/>
      <c r="AL257" s="31"/>
      <c r="AM257" s="31"/>
    </row>
    <row r="258" customFormat="false" ht="14.25" hidden="false" customHeight="true" outlineLevel="0" collapsed="false">
      <c r="A258" s="31"/>
      <c r="B258" s="189"/>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31"/>
      <c r="AD258" s="31"/>
      <c r="AE258" s="31"/>
      <c r="AF258" s="31"/>
      <c r="AG258" s="31"/>
      <c r="AH258" s="32"/>
      <c r="AI258" s="33"/>
      <c r="AJ258" s="34"/>
      <c r="AK258" s="31"/>
      <c r="AL258" s="31"/>
      <c r="AM258" s="31"/>
    </row>
    <row r="259" customFormat="false" ht="14.25" hidden="false" customHeight="true" outlineLevel="0" collapsed="false">
      <c r="A259" s="31"/>
      <c r="B259" s="189"/>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31"/>
      <c r="AD259" s="31"/>
      <c r="AE259" s="31"/>
      <c r="AF259" s="31"/>
      <c r="AG259" s="31"/>
      <c r="AH259" s="32"/>
      <c r="AI259" s="33"/>
      <c r="AJ259" s="34"/>
      <c r="AK259" s="31"/>
      <c r="AL259" s="31"/>
      <c r="AM259" s="31"/>
    </row>
    <row r="260" customFormat="false" ht="14.25" hidden="false" customHeight="true" outlineLevel="0" collapsed="false">
      <c r="A260" s="31"/>
      <c r="B260" s="189"/>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31"/>
      <c r="AD260" s="31"/>
      <c r="AE260" s="31"/>
      <c r="AF260" s="31"/>
      <c r="AG260" s="31"/>
      <c r="AH260" s="32"/>
      <c r="AI260" s="33"/>
      <c r="AJ260" s="34"/>
      <c r="AK260" s="31"/>
      <c r="AL260" s="31"/>
      <c r="AM260" s="31"/>
    </row>
    <row r="261" customFormat="false" ht="14.25" hidden="false" customHeight="true" outlineLevel="0" collapsed="false">
      <c r="A261" s="31"/>
      <c r="B261" s="189"/>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31"/>
      <c r="AD261" s="31"/>
      <c r="AE261" s="31"/>
      <c r="AF261" s="31"/>
      <c r="AG261" s="31"/>
      <c r="AH261" s="32"/>
      <c r="AI261" s="33"/>
      <c r="AJ261" s="34"/>
      <c r="AK261" s="31"/>
      <c r="AL261" s="31"/>
      <c r="AM261" s="31"/>
    </row>
    <row r="262" customFormat="false" ht="14.25" hidden="false" customHeight="true" outlineLevel="0" collapsed="false">
      <c r="A262" s="31"/>
      <c r="B262" s="189"/>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31"/>
      <c r="AD262" s="31"/>
      <c r="AE262" s="31"/>
      <c r="AF262" s="31"/>
      <c r="AG262" s="31"/>
      <c r="AH262" s="32"/>
      <c r="AI262" s="33"/>
      <c r="AJ262" s="34"/>
      <c r="AK262" s="31"/>
      <c r="AL262" s="31"/>
      <c r="AM262" s="31"/>
    </row>
    <row r="263" customFormat="false" ht="14.25" hidden="false" customHeight="true" outlineLevel="0" collapsed="false">
      <c r="A263" s="31"/>
      <c r="B263" s="189"/>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31"/>
      <c r="AD263" s="31"/>
      <c r="AE263" s="31"/>
      <c r="AF263" s="31"/>
      <c r="AG263" s="31"/>
      <c r="AH263" s="32"/>
      <c r="AI263" s="33"/>
      <c r="AJ263" s="34"/>
      <c r="AK263" s="31"/>
      <c r="AL263" s="31"/>
      <c r="AM263" s="31"/>
    </row>
    <row r="264" customFormat="false" ht="14.25" hidden="false" customHeight="true" outlineLevel="0" collapsed="false">
      <c r="A264" s="31"/>
      <c r="B264" s="189"/>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31"/>
      <c r="AD264" s="31"/>
      <c r="AE264" s="31"/>
      <c r="AF264" s="31"/>
      <c r="AG264" s="31"/>
      <c r="AH264" s="32"/>
      <c r="AI264" s="33"/>
      <c r="AJ264" s="34"/>
      <c r="AK264" s="31"/>
      <c r="AL264" s="31"/>
      <c r="AM264" s="31"/>
    </row>
    <row r="265" customFormat="false" ht="14.25" hidden="false" customHeight="true" outlineLevel="0" collapsed="false">
      <c r="A265" s="31"/>
      <c r="B265" s="189"/>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31"/>
      <c r="AD265" s="31"/>
      <c r="AE265" s="31"/>
      <c r="AF265" s="31"/>
      <c r="AG265" s="31"/>
      <c r="AH265" s="32"/>
      <c r="AI265" s="33"/>
      <c r="AJ265" s="34"/>
      <c r="AK265" s="31"/>
      <c r="AL265" s="31"/>
      <c r="AM265" s="31"/>
    </row>
    <row r="266" customFormat="false" ht="14.25" hidden="false" customHeight="true" outlineLevel="0" collapsed="false">
      <c r="A266" s="31"/>
      <c r="B266" s="189"/>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31"/>
      <c r="AD266" s="31"/>
      <c r="AE266" s="31"/>
      <c r="AF266" s="31"/>
      <c r="AG266" s="31"/>
      <c r="AH266" s="32"/>
      <c r="AI266" s="33"/>
      <c r="AJ266" s="34"/>
      <c r="AK266" s="31"/>
      <c r="AL266" s="31"/>
      <c r="AM266" s="31"/>
    </row>
    <row r="267" customFormat="false" ht="14.25" hidden="false" customHeight="true" outlineLevel="0" collapsed="false">
      <c r="A267" s="31"/>
      <c r="B267" s="189"/>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31"/>
      <c r="AD267" s="31"/>
      <c r="AE267" s="31"/>
      <c r="AF267" s="31"/>
      <c r="AG267" s="31"/>
      <c r="AH267" s="32"/>
      <c r="AI267" s="33"/>
      <c r="AJ267" s="34"/>
      <c r="AK267" s="31"/>
      <c r="AL267" s="31"/>
      <c r="AM267" s="31"/>
    </row>
    <row r="268" customFormat="false" ht="14.25" hidden="false" customHeight="true" outlineLevel="0" collapsed="false">
      <c r="A268" s="31"/>
      <c r="B268" s="189"/>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31"/>
      <c r="AD268" s="31"/>
      <c r="AE268" s="31"/>
      <c r="AF268" s="31"/>
      <c r="AG268" s="31"/>
      <c r="AH268" s="32"/>
      <c r="AI268" s="33"/>
      <c r="AJ268" s="34"/>
      <c r="AK268" s="31"/>
      <c r="AL268" s="31"/>
      <c r="AM268" s="31"/>
    </row>
    <row r="269" customFormat="false" ht="14.25" hidden="false" customHeight="true" outlineLevel="0" collapsed="false">
      <c r="A269" s="31"/>
      <c r="B269" s="189"/>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31"/>
      <c r="AD269" s="31"/>
      <c r="AE269" s="31"/>
      <c r="AF269" s="31"/>
      <c r="AG269" s="31"/>
      <c r="AH269" s="32"/>
      <c r="AI269" s="33"/>
      <c r="AJ269" s="34"/>
      <c r="AK269" s="31"/>
      <c r="AL269" s="31"/>
      <c r="AM269" s="31"/>
    </row>
    <row r="270" customFormat="false" ht="14.25" hidden="false" customHeight="true" outlineLevel="0" collapsed="false">
      <c r="A270" s="31"/>
      <c r="B270" s="189"/>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31"/>
      <c r="AD270" s="31"/>
      <c r="AE270" s="31"/>
      <c r="AF270" s="31"/>
      <c r="AG270" s="31"/>
      <c r="AH270" s="32"/>
      <c r="AI270" s="33"/>
      <c r="AJ270" s="34"/>
      <c r="AK270" s="31"/>
      <c r="AL270" s="31"/>
      <c r="AM270" s="31"/>
    </row>
    <row r="271" customFormat="false" ht="14.25" hidden="false" customHeight="true" outlineLevel="0" collapsed="false">
      <c r="A271" s="31"/>
      <c r="B271" s="189"/>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31"/>
      <c r="AD271" s="31"/>
      <c r="AE271" s="31"/>
      <c r="AF271" s="31"/>
      <c r="AG271" s="31"/>
      <c r="AH271" s="32"/>
      <c r="AI271" s="33"/>
      <c r="AJ271" s="34"/>
      <c r="AK271" s="31"/>
      <c r="AL271" s="31"/>
      <c r="AM271" s="31"/>
    </row>
    <row r="272" customFormat="false" ht="14.25" hidden="false" customHeight="true" outlineLevel="0" collapsed="false">
      <c r="A272" s="31"/>
      <c r="B272" s="189"/>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31"/>
      <c r="AD272" s="31"/>
      <c r="AE272" s="31"/>
      <c r="AF272" s="31"/>
      <c r="AG272" s="31"/>
      <c r="AH272" s="32"/>
      <c r="AI272" s="33"/>
      <c r="AJ272" s="34"/>
      <c r="AK272" s="31"/>
      <c r="AL272" s="31"/>
      <c r="AM272" s="31"/>
    </row>
    <row r="273" customFormat="false" ht="14.25" hidden="false" customHeight="true" outlineLevel="0" collapsed="false">
      <c r="A273" s="31"/>
      <c r="B273" s="189"/>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31"/>
      <c r="AD273" s="31"/>
      <c r="AE273" s="31"/>
      <c r="AF273" s="31"/>
      <c r="AG273" s="31"/>
      <c r="AH273" s="32"/>
      <c r="AI273" s="33"/>
      <c r="AJ273" s="34"/>
      <c r="AK273" s="31"/>
      <c r="AL273" s="31"/>
      <c r="AM273" s="31"/>
    </row>
    <row r="274" customFormat="false" ht="14.25" hidden="false" customHeight="true" outlineLevel="0" collapsed="false">
      <c r="A274" s="31"/>
      <c r="B274" s="189"/>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31"/>
      <c r="AD274" s="31"/>
      <c r="AE274" s="31"/>
      <c r="AF274" s="31"/>
      <c r="AG274" s="31"/>
      <c r="AH274" s="32"/>
      <c r="AI274" s="33"/>
      <c r="AJ274" s="34"/>
      <c r="AK274" s="31"/>
      <c r="AL274" s="31"/>
      <c r="AM274" s="31"/>
    </row>
    <row r="275" customFormat="false" ht="14.25" hidden="false" customHeight="true" outlineLevel="0" collapsed="false">
      <c r="A275" s="31"/>
      <c r="B275" s="189"/>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31"/>
      <c r="AD275" s="31"/>
      <c r="AE275" s="31"/>
      <c r="AF275" s="31"/>
      <c r="AG275" s="31"/>
      <c r="AH275" s="32"/>
      <c r="AI275" s="33"/>
      <c r="AJ275" s="34"/>
      <c r="AK275" s="31"/>
      <c r="AL275" s="31"/>
      <c r="AM275" s="31"/>
    </row>
    <row r="276" customFormat="false" ht="14.25" hidden="false" customHeight="true" outlineLevel="0" collapsed="false">
      <c r="A276" s="31"/>
      <c r="B276" s="189"/>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31"/>
      <c r="AD276" s="31"/>
      <c r="AE276" s="31"/>
      <c r="AF276" s="31"/>
      <c r="AG276" s="31"/>
      <c r="AH276" s="32"/>
      <c r="AI276" s="33"/>
      <c r="AJ276" s="34"/>
      <c r="AK276" s="31"/>
      <c r="AL276" s="31"/>
      <c r="AM276" s="31"/>
    </row>
    <row r="277" customFormat="false" ht="14.25" hidden="false" customHeight="true" outlineLevel="0" collapsed="false">
      <c r="A277" s="31"/>
      <c r="B277" s="189"/>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31"/>
      <c r="AD277" s="31"/>
      <c r="AE277" s="31"/>
      <c r="AF277" s="31"/>
      <c r="AG277" s="31"/>
      <c r="AH277" s="32"/>
      <c r="AI277" s="33"/>
      <c r="AJ277" s="34"/>
      <c r="AK277" s="31"/>
      <c r="AL277" s="31"/>
      <c r="AM277" s="31"/>
    </row>
    <row r="278" customFormat="false" ht="14.25" hidden="false" customHeight="true" outlineLevel="0" collapsed="false">
      <c r="A278" s="31"/>
      <c r="B278" s="189"/>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31"/>
      <c r="AD278" s="31"/>
      <c r="AE278" s="31"/>
      <c r="AF278" s="31"/>
      <c r="AG278" s="31"/>
      <c r="AH278" s="32"/>
      <c r="AI278" s="33"/>
      <c r="AJ278" s="34"/>
      <c r="AK278" s="31"/>
      <c r="AL278" s="31"/>
      <c r="AM278" s="31"/>
    </row>
    <row r="279" customFormat="false" ht="14.25" hidden="false" customHeight="true" outlineLevel="0" collapsed="false">
      <c r="A279" s="31"/>
      <c r="B279" s="189"/>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31"/>
      <c r="AD279" s="31"/>
      <c r="AE279" s="31"/>
      <c r="AF279" s="31"/>
      <c r="AG279" s="31"/>
      <c r="AH279" s="32"/>
      <c r="AI279" s="33"/>
      <c r="AJ279" s="34"/>
      <c r="AK279" s="31"/>
      <c r="AL279" s="31"/>
      <c r="AM279" s="31"/>
    </row>
    <row r="280" customFormat="false" ht="14.25" hidden="false" customHeight="true" outlineLevel="0" collapsed="false">
      <c r="A280" s="31"/>
      <c r="B280" s="189"/>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31"/>
      <c r="AD280" s="31"/>
      <c r="AE280" s="31"/>
      <c r="AF280" s="31"/>
      <c r="AG280" s="31"/>
      <c r="AH280" s="32"/>
      <c r="AI280" s="33"/>
      <c r="AJ280" s="34"/>
      <c r="AK280" s="31"/>
      <c r="AL280" s="31"/>
      <c r="AM280" s="31"/>
    </row>
    <row r="281" customFormat="false" ht="14.25" hidden="false" customHeight="true" outlineLevel="0" collapsed="false">
      <c r="A281" s="31"/>
      <c r="B281" s="189"/>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31"/>
      <c r="AD281" s="31"/>
      <c r="AE281" s="31"/>
      <c r="AF281" s="31"/>
      <c r="AG281" s="31"/>
      <c r="AH281" s="32"/>
      <c r="AI281" s="33"/>
      <c r="AJ281" s="34"/>
      <c r="AK281" s="31"/>
      <c r="AL281" s="31"/>
      <c r="AM281" s="31"/>
    </row>
    <row r="282" customFormat="false" ht="14.25" hidden="false" customHeight="true" outlineLevel="0" collapsed="false">
      <c r="A282" s="31"/>
      <c r="B282" s="189"/>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31"/>
      <c r="AD282" s="31"/>
      <c r="AE282" s="31"/>
      <c r="AF282" s="31"/>
      <c r="AG282" s="31"/>
      <c r="AH282" s="32"/>
      <c r="AI282" s="33"/>
      <c r="AJ282" s="34"/>
      <c r="AK282" s="31"/>
      <c r="AL282" s="31"/>
      <c r="AM282" s="31"/>
    </row>
    <row r="283" customFormat="false" ht="14.25" hidden="false" customHeight="true" outlineLevel="0" collapsed="false">
      <c r="A283" s="31"/>
      <c r="B283" s="189"/>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31"/>
      <c r="AD283" s="31"/>
      <c r="AE283" s="31"/>
      <c r="AF283" s="31"/>
      <c r="AG283" s="31"/>
      <c r="AH283" s="32"/>
      <c r="AI283" s="33"/>
      <c r="AJ283" s="34"/>
      <c r="AK283" s="31"/>
      <c r="AL283" s="31"/>
      <c r="AM283" s="31"/>
    </row>
    <row r="284" customFormat="false" ht="14.25" hidden="false" customHeight="true" outlineLevel="0" collapsed="false">
      <c r="A284" s="31"/>
      <c r="B284" s="189"/>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31"/>
      <c r="AD284" s="31"/>
      <c r="AE284" s="31"/>
      <c r="AF284" s="31"/>
      <c r="AG284" s="31"/>
      <c r="AH284" s="32"/>
      <c r="AI284" s="33"/>
      <c r="AJ284" s="34"/>
      <c r="AK284" s="31"/>
      <c r="AL284" s="31"/>
      <c r="AM284" s="31"/>
    </row>
    <row r="285" customFormat="false" ht="14.25" hidden="false" customHeight="true" outlineLevel="0" collapsed="false">
      <c r="A285" s="31"/>
      <c r="B285" s="189"/>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31"/>
      <c r="AD285" s="31"/>
      <c r="AE285" s="31"/>
      <c r="AF285" s="31"/>
      <c r="AG285" s="31"/>
      <c r="AH285" s="32"/>
      <c r="AI285" s="33"/>
      <c r="AJ285" s="34"/>
      <c r="AK285" s="31"/>
      <c r="AL285" s="31"/>
      <c r="AM285" s="31"/>
    </row>
    <row r="286" customFormat="false" ht="14.25" hidden="false" customHeight="true" outlineLevel="0" collapsed="false">
      <c r="A286" s="31"/>
      <c r="B286" s="189"/>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31"/>
      <c r="AD286" s="31"/>
      <c r="AE286" s="31"/>
      <c r="AF286" s="31"/>
      <c r="AG286" s="31"/>
      <c r="AH286" s="32"/>
      <c r="AI286" s="33"/>
      <c r="AJ286" s="34"/>
      <c r="AK286" s="31"/>
      <c r="AL286" s="31"/>
      <c r="AM286" s="31"/>
    </row>
    <row r="287" customFormat="false" ht="14.25" hidden="false" customHeight="true" outlineLevel="0" collapsed="false">
      <c r="A287" s="31"/>
      <c r="B287" s="189"/>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31"/>
      <c r="AD287" s="31"/>
      <c r="AE287" s="31"/>
      <c r="AF287" s="31"/>
      <c r="AG287" s="31"/>
      <c r="AH287" s="32"/>
      <c r="AI287" s="33"/>
      <c r="AJ287" s="34"/>
      <c r="AK287" s="31"/>
      <c r="AL287" s="31"/>
      <c r="AM287" s="31"/>
    </row>
    <row r="288" customFormat="false" ht="14.25" hidden="false" customHeight="true" outlineLevel="0" collapsed="false">
      <c r="A288" s="31"/>
      <c r="B288" s="189"/>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31"/>
      <c r="AD288" s="31"/>
      <c r="AE288" s="31"/>
      <c r="AF288" s="31"/>
      <c r="AG288" s="31"/>
      <c r="AH288" s="32"/>
      <c r="AI288" s="33"/>
      <c r="AJ288" s="34"/>
      <c r="AK288" s="31"/>
      <c r="AL288" s="31"/>
      <c r="AM288" s="31"/>
    </row>
    <row r="289" customFormat="false" ht="14.25" hidden="false" customHeight="true" outlineLevel="0" collapsed="false">
      <c r="A289" s="31"/>
      <c r="B289" s="189"/>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31"/>
      <c r="AD289" s="31"/>
      <c r="AE289" s="31"/>
      <c r="AF289" s="31"/>
      <c r="AG289" s="31"/>
      <c r="AH289" s="32"/>
      <c r="AI289" s="33"/>
      <c r="AJ289" s="34"/>
      <c r="AK289" s="31"/>
      <c r="AL289" s="31"/>
      <c r="AM289" s="31"/>
    </row>
    <row r="290" customFormat="false" ht="14.25" hidden="false" customHeight="true" outlineLevel="0" collapsed="false">
      <c r="A290" s="31"/>
      <c r="B290" s="189"/>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31"/>
      <c r="AD290" s="31"/>
      <c r="AE290" s="31"/>
      <c r="AF290" s="31"/>
      <c r="AG290" s="31"/>
      <c r="AH290" s="32"/>
      <c r="AI290" s="33"/>
      <c r="AJ290" s="34"/>
      <c r="AK290" s="31"/>
      <c r="AL290" s="31"/>
      <c r="AM290" s="31"/>
    </row>
    <row r="291" customFormat="false" ht="14.25" hidden="false" customHeight="true" outlineLevel="0" collapsed="false">
      <c r="A291" s="31"/>
      <c r="B291" s="189"/>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31"/>
      <c r="AD291" s="31"/>
      <c r="AE291" s="31"/>
      <c r="AF291" s="31"/>
      <c r="AG291" s="31"/>
      <c r="AH291" s="32"/>
      <c r="AI291" s="33"/>
      <c r="AJ291" s="34"/>
      <c r="AK291" s="31"/>
      <c r="AL291" s="31"/>
      <c r="AM291" s="31"/>
    </row>
    <row r="292" customFormat="false" ht="14.25" hidden="false" customHeight="true" outlineLevel="0" collapsed="false">
      <c r="A292" s="31"/>
      <c r="B292" s="189"/>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31"/>
      <c r="AD292" s="31"/>
      <c r="AE292" s="31"/>
      <c r="AF292" s="31"/>
      <c r="AG292" s="31"/>
      <c r="AH292" s="32"/>
      <c r="AI292" s="33"/>
      <c r="AJ292" s="34"/>
      <c r="AK292" s="31"/>
      <c r="AL292" s="31"/>
      <c r="AM292" s="31"/>
    </row>
    <row r="293" customFormat="false" ht="14.25" hidden="false" customHeight="true" outlineLevel="0" collapsed="false">
      <c r="A293" s="31"/>
      <c r="B293" s="189"/>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31"/>
      <c r="AD293" s="31"/>
      <c r="AE293" s="31"/>
      <c r="AF293" s="31"/>
      <c r="AG293" s="31"/>
      <c r="AH293" s="32"/>
      <c r="AI293" s="33"/>
      <c r="AJ293" s="34"/>
      <c r="AK293" s="31"/>
      <c r="AL293" s="31"/>
      <c r="AM293" s="31"/>
    </row>
    <row r="294" customFormat="false" ht="14.25" hidden="false" customHeight="true" outlineLevel="0" collapsed="false">
      <c r="A294" s="31"/>
      <c r="B294" s="189"/>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31"/>
      <c r="AD294" s="31"/>
      <c r="AE294" s="31"/>
      <c r="AF294" s="31"/>
      <c r="AG294" s="31"/>
      <c r="AH294" s="32"/>
      <c r="AI294" s="33"/>
      <c r="AJ294" s="34"/>
      <c r="AK294" s="31"/>
      <c r="AL294" s="31"/>
      <c r="AM294" s="31"/>
    </row>
    <row r="295" customFormat="false" ht="14.25" hidden="false" customHeight="true" outlineLevel="0" collapsed="false">
      <c r="A295" s="31"/>
      <c r="B295" s="189"/>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31"/>
      <c r="AD295" s="31"/>
      <c r="AE295" s="31"/>
      <c r="AF295" s="31"/>
      <c r="AG295" s="31"/>
      <c r="AH295" s="32"/>
      <c r="AI295" s="33"/>
      <c r="AJ295" s="34"/>
      <c r="AK295" s="31"/>
      <c r="AL295" s="31"/>
      <c r="AM295" s="31"/>
    </row>
    <row r="296" customFormat="false" ht="14.25" hidden="false" customHeight="true" outlineLevel="0" collapsed="false">
      <c r="A296" s="31"/>
      <c r="B296" s="189"/>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31"/>
      <c r="AD296" s="31"/>
      <c r="AE296" s="31"/>
      <c r="AF296" s="31"/>
      <c r="AG296" s="31"/>
      <c r="AH296" s="32"/>
      <c r="AI296" s="33"/>
      <c r="AJ296" s="34"/>
      <c r="AK296" s="31"/>
      <c r="AL296" s="31"/>
      <c r="AM296" s="31"/>
    </row>
    <row r="297" customFormat="false" ht="14.25" hidden="false" customHeight="true" outlineLevel="0" collapsed="false">
      <c r="A297" s="31"/>
      <c r="B297" s="189"/>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31"/>
      <c r="AD297" s="31"/>
      <c r="AE297" s="31"/>
      <c r="AF297" s="31"/>
      <c r="AG297" s="31"/>
      <c r="AH297" s="32"/>
      <c r="AI297" s="33"/>
      <c r="AJ297" s="34"/>
      <c r="AK297" s="31"/>
      <c r="AL297" s="31"/>
      <c r="AM297" s="31"/>
    </row>
    <row r="298" customFormat="false" ht="14.25" hidden="false" customHeight="true" outlineLevel="0" collapsed="false">
      <c r="A298" s="31"/>
      <c r="B298" s="189"/>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31"/>
      <c r="AD298" s="31"/>
      <c r="AE298" s="31"/>
      <c r="AF298" s="31"/>
      <c r="AG298" s="31"/>
      <c r="AH298" s="32"/>
      <c r="AI298" s="33"/>
      <c r="AJ298" s="34"/>
      <c r="AK298" s="31"/>
      <c r="AL298" s="31"/>
      <c r="AM298" s="31"/>
    </row>
    <row r="299" customFormat="false" ht="14.25" hidden="false" customHeight="true" outlineLevel="0" collapsed="false">
      <c r="A299" s="31"/>
      <c r="B299" s="189"/>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31"/>
      <c r="AD299" s="31"/>
      <c r="AE299" s="31"/>
      <c r="AF299" s="31"/>
      <c r="AG299" s="31"/>
      <c r="AH299" s="32"/>
      <c r="AI299" s="33"/>
      <c r="AJ299" s="34"/>
      <c r="AK299" s="31"/>
      <c r="AL299" s="31"/>
      <c r="AM299" s="31"/>
    </row>
    <row r="300" customFormat="false" ht="14.25" hidden="false" customHeight="true" outlineLevel="0" collapsed="false">
      <c r="A300" s="31"/>
      <c r="B300" s="189"/>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31"/>
      <c r="AD300" s="31"/>
      <c r="AE300" s="31"/>
      <c r="AF300" s="31"/>
      <c r="AG300" s="31"/>
      <c r="AH300" s="32"/>
      <c r="AI300" s="33"/>
      <c r="AJ300" s="34"/>
      <c r="AK300" s="31"/>
      <c r="AL300" s="31"/>
      <c r="AM300" s="31"/>
    </row>
    <row r="301" customFormat="false" ht="14.25" hidden="false" customHeight="true" outlineLevel="0" collapsed="false">
      <c r="A301" s="31"/>
      <c r="B301" s="189"/>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31"/>
      <c r="AD301" s="31"/>
      <c r="AE301" s="31"/>
      <c r="AF301" s="31"/>
      <c r="AG301" s="31"/>
      <c r="AH301" s="32"/>
      <c r="AI301" s="33"/>
      <c r="AJ301" s="34"/>
      <c r="AK301" s="31"/>
      <c r="AL301" s="31"/>
      <c r="AM301" s="31"/>
    </row>
    <row r="302" customFormat="false" ht="14.25" hidden="false" customHeight="true" outlineLevel="0" collapsed="false">
      <c r="A302" s="31"/>
      <c r="B302" s="189"/>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31"/>
      <c r="AD302" s="31"/>
      <c r="AE302" s="31"/>
      <c r="AF302" s="31"/>
      <c r="AG302" s="31"/>
      <c r="AH302" s="32"/>
      <c r="AI302" s="33"/>
      <c r="AJ302" s="34"/>
      <c r="AK302" s="31"/>
      <c r="AL302" s="31"/>
      <c r="AM302" s="31"/>
    </row>
    <row r="303" customFormat="false" ht="14.25" hidden="false" customHeight="true" outlineLevel="0" collapsed="false">
      <c r="A303" s="31"/>
      <c r="B303" s="189"/>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31"/>
      <c r="AD303" s="31"/>
      <c r="AE303" s="31"/>
      <c r="AF303" s="31"/>
      <c r="AG303" s="31"/>
      <c r="AH303" s="32"/>
      <c r="AI303" s="33"/>
      <c r="AJ303" s="34"/>
      <c r="AK303" s="31"/>
      <c r="AL303" s="31"/>
      <c r="AM303" s="31"/>
    </row>
    <row r="304" customFormat="false" ht="14.25" hidden="false" customHeight="true" outlineLevel="0" collapsed="false">
      <c r="A304" s="31"/>
      <c r="B304" s="189"/>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31"/>
      <c r="AD304" s="31"/>
      <c r="AE304" s="31"/>
      <c r="AF304" s="31"/>
      <c r="AG304" s="31"/>
      <c r="AH304" s="32"/>
      <c r="AI304" s="33"/>
      <c r="AJ304" s="34"/>
      <c r="AK304" s="31"/>
      <c r="AL304" s="31"/>
      <c r="AM304" s="31"/>
    </row>
    <row r="305" customFormat="false" ht="14.25" hidden="false" customHeight="true" outlineLevel="0" collapsed="false">
      <c r="A305" s="31"/>
      <c r="B305" s="189"/>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31"/>
      <c r="AD305" s="31"/>
      <c r="AE305" s="31"/>
      <c r="AF305" s="31"/>
      <c r="AG305" s="31"/>
      <c r="AH305" s="32"/>
      <c r="AI305" s="33"/>
      <c r="AJ305" s="34"/>
      <c r="AK305" s="31"/>
      <c r="AL305" s="31"/>
      <c r="AM305" s="31"/>
    </row>
    <row r="306" customFormat="false" ht="14.25" hidden="false" customHeight="true" outlineLevel="0" collapsed="false">
      <c r="A306" s="31"/>
      <c r="B306" s="189"/>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31"/>
      <c r="AD306" s="31"/>
      <c r="AE306" s="31"/>
      <c r="AF306" s="31"/>
      <c r="AG306" s="31"/>
      <c r="AH306" s="32"/>
      <c r="AI306" s="33"/>
      <c r="AJ306" s="34"/>
      <c r="AK306" s="31"/>
      <c r="AL306" s="31"/>
      <c r="AM306" s="31"/>
    </row>
    <row r="307" customFormat="false" ht="14.25" hidden="false" customHeight="true" outlineLevel="0" collapsed="false">
      <c r="A307" s="31"/>
      <c r="B307" s="189"/>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31"/>
      <c r="AD307" s="31"/>
      <c r="AE307" s="31"/>
      <c r="AF307" s="31"/>
      <c r="AG307" s="31"/>
      <c r="AH307" s="32"/>
      <c r="AI307" s="33"/>
      <c r="AJ307" s="34"/>
      <c r="AK307" s="31"/>
      <c r="AL307" s="31"/>
      <c r="AM307" s="31"/>
    </row>
    <row r="308" customFormat="false" ht="14.25" hidden="false" customHeight="true" outlineLevel="0" collapsed="false">
      <c r="A308" s="31"/>
      <c r="B308" s="189"/>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31"/>
      <c r="AD308" s="31"/>
      <c r="AE308" s="31"/>
      <c r="AF308" s="31"/>
      <c r="AG308" s="31"/>
      <c r="AH308" s="32"/>
      <c r="AI308" s="33"/>
      <c r="AJ308" s="34"/>
      <c r="AK308" s="31"/>
      <c r="AL308" s="31"/>
      <c r="AM308" s="31"/>
    </row>
    <row r="309" customFormat="false" ht="14.25" hidden="false" customHeight="true" outlineLevel="0" collapsed="false">
      <c r="A309" s="31"/>
      <c r="B309" s="189"/>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31"/>
      <c r="AD309" s="31"/>
      <c r="AE309" s="31"/>
      <c r="AF309" s="31"/>
      <c r="AG309" s="31"/>
      <c r="AH309" s="32"/>
      <c r="AI309" s="33"/>
      <c r="AJ309" s="34"/>
      <c r="AK309" s="31"/>
      <c r="AL309" s="31"/>
      <c r="AM309" s="31"/>
    </row>
    <row r="310" customFormat="false" ht="14.25" hidden="false" customHeight="true" outlineLevel="0" collapsed="false">
      <c r="A310" s="31"/>
      <c r="B310" s="189"/>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31"/>
      <c r="AD310" s="31"/>
      <c r="AE310" s="31"/>
      <c r="AF310" s="31"/>
      <c r="AG310" s="31"/>
      <c r="AH310" s="32"/>
      <c r="AI310" s="33"/>
      <c r="AJ310" s="34"/>
      <c r="AK310" s="31"/>
      <c r="AL310" s="31"/>
      <c r="AM310" s="31"/>
    </row>
    <row r="311" customFormat="false" ht="14.25" hidden="false" customHeight="true" outlineLevel="0" collapsed="false">
      <c r="A311" s="31"/>
      <c r="B311" s="189"/>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31"/>
      <c r="AD311" s="31"/>
      <c r="AE311" s="31"/>
      <c r="AF311" s="31"/>
      <c r="AG311" s="31"/>
      <c r="AH311" s="32"/>
      <c r="AI311" s="33"/>
      <c r="AJ311" s="34"/>
      <c r="AK311" s="31"/>
      <c r="AL311" s="31"/>
      <c r="AM311" s="31"/>
    </row>
    <row r="312" customFormat="false" ht="14.25" hidden="false" customHeight="true" outlineLevel="0" collapsed="false">
      <c r="A312" s="31"/>
      <c r="B312" s="189"/>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31"/>
      <c r="AD312" s="31"/>
      <c r="AE312" s="31"/>
      <c r="AF312" s="31"/>
      <c r="AG312" s="31"/>
      <c r="AH312" s="32"/>
      <c r="AI312" s="33"/>
      <c r="AJ312" s="34"/>
      <c r="AK312" s="31"/>
      <c r="AL312" s="31"/>
      <c r="AM312" s="31"/>
    </row>
    <row r="313" customFormat="false" ht="14.25" hidden="false" customHeight="true" outlineLevel="0" collapsed="false">
      <c r="A313" s="31"/>
      <c r="B313" s="189"/>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31"/>
      <c r="AD313" s="31"/>
      <c r="AE313" s="31"/>
      <c r="AF313" s="31"/>
      <c r="AG313" s="31"/>
      <c r="AH313" s="32"/>
      <c r="AI313" s="33"/>
      <c r="AJ313" s="34"/>
      <c r="AK313" s="31"/>
      <c r="AL313" s="31"/>
      <c r="AM313" s="31"/>
    </row>
    <row r="314" customFormat="false" ht="14.25" hidden="false" customHeight="true" outlineLevel="0" collapsed="false">
      <c r="A314" s="31"/>
      <c r="B314" s="189"/>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31"/>
      <c r="AD314" s="31"/>
      <c r="AE314" s="31"/>
      <c r="AF314" s="31"/>
      <c r="AG314" s="31"/>
      <c r="AH314" s="32"/>
      <c r="AI314" s="33"/>
      <c r="AJ314" s="34"/>
      <c r="AK314" s="31"/>
      <c r="AL314" s="31"/>
      <c r="AM314" s="31"/>
    </row>
    <row r="315" customFormat="false" ht="14.25" hidden="false" customHeight="true" outlineLevel="0" collapsed="false">
      <c r="A315" s="31"/>
      <c r="B315" s="189"/>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31"/>
      <c r="AD315" s="31"/>
      <c r="AE315" s="31"/>
      <c r="AF315" s="31"/>
      <c r="AG315" s="31"/>
      <c r="AH315" s="32"/>
      <c r="AI315" s="33"/>
      <c r="AJ315" s="34"/>
      <c r="AK315" s="31"/>
      <c r="AL315" s="31"/>
      <c r="AM315" s="31"/>
    </row>
    <row r="316" customFormat="false" ht="14.25" hidden="false" customHeight="true" outlineLevel="0" collapsed="false">
      <c r="A316" s="31"/>
      <c r="B316" s="189"/>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31"/>
      <c r="AD316" s="31"/>
      <c r="AE316" s="31"/>
      <c r="AF316" s="31"/>
      <c r="AG316" s="31"/>
      <c r="AH316" s="32"/>
      <c r="AI316" s="33"/>
      <c r="AJ316" s="34"/>
      <c r="AK316" s="31"/>
      <c r="AL316" s="31"/>
      <c r="AM316" s="31"/>
    </row>
    <row r="317" customFormat="false" ht="14.25" hidden="false" customHeight="true" outlineLevel="0" collapsed="false">
      <c r="A317" s="31"/>
      <c r="B317" s="189"/>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31"/>
      <c r="AD317" s="31"/>
      <c r="AE317" s="31"/>
      <c r="AF317" s="31"/>
      <c r="AG317" s="31"/>
      <c r="AH317" s="32"/>
      <c r="AI317" s="33"/>
      <c r="AJ317" s="34"/>
      <c r="AK317" s="31"/>
      <c r="AL317" s="31"/>
      <c r="AM317" s="31"/>
    </row>
    <row r="318" customFormat="false" ht="14.25" hidden="false" customHeight="true" outlineLevel="0" collapsed="false">
      <c r="A318" s="31"/>
      <c r="B318" s="189"/>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31"/>
      <c r="AD318" s="31"/>
      <c r="AE318" s="31"/>
      <c r="AF318" s="31"/>
      <c r="AG318" s="31"/>
      <c r="AH318" s="32"/>
      <c r="AI318" s="33"/>
      <c r="AJ318" s="34"/>
      <c r="AK318" s="31"/>
      <c r="AL318" s="31"/>
      <c r="AM318" s="31"/>
    </row>
    <row r="319" customFormat="false" ht="14.25" hidden="false" customHeight="true" outlineLevel="0" collapsed="false">
      <c r="A319" s="31"/>
      <c r="B319" s="189"/>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31"/>
      <c r="AD319" s="31"/>
      <c r="AE319" s="31"/>
      <c r="AF319" s="31"/>
      <c r="AG319" s="31"/>
      <c r="AH319" s="32"/>
      <c r="AI319" s="33"/>
      <c r="AJ319" s="34"/>
      <c r="AK319" s="31"/>
      <c r="AL319" s="31"/>
      <c r="AM319" s="31"/>
    </row>
    <row r="320" customFormat="false" ht="14.25" hidden="false" customHeight="true" outlineLevel="0" collapsed="false">
      <c r="A320" s="31"/>
      <c r="B320" s="189"/>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31"/>
      <c r="AD320" s="31"/>
      <c r="AE320" s="31"/>
      <c r="AF320" s="31"/>
      <c r="AG320" s="31"/>
      <c r="AH320" s="32"/>
      <c r="AI320" s="33"/>
      <c r="AJ320" s="34"/>
      <c r="AK320" s="31"/>
      <c r="AL320" s="31"/>
      <c r="AM320" s="31"/>
    </row>
    <row r="321" customFormat="false" ht="14.25" hidden="false" customHeight="true" outlineLevel="0" collapsed="false">
      <c r="A321" s="31"/>
      <c r="B321" s="189"/>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31"/>
      <c r="AD321" s="31"/>
      <c r="AE321" s="31"/>
      <c r="AF321" s="31"/>
      <c r="AG321" s="31"/>
      <c r="AH321" s="32"/>
      <c r="AI321" s="33"/>
      <c r="AJ321" s="34"/>
      <c r="AK321" s="31"/>
      <c r="AL321" s="31"/>
      <c r="AM321" s="31"/>
    </row>
    <row r="322" customFormat="false" ht="14.25" hidden="false" customHeight="true" outlineLevel="0" collapsed="false">
      <c r="A322" s="31"/>
      <c r="B322" s="189"/>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31"/>
      <c r="AD322" s="31"/>
      <c r="AE322" s="31"/>
      <c r="AF322" s="31"/>
      <c r="AG322" s="31"/>
      <c r="AH322" s="32"/>
      <c r="AI322" s="33"/>
      <c r="AJ322" s="34"/>
      <c r="AK322" s="31"/>
      <c r="AL322" s="31"/>
      <c r="AM322" s="31"/>
    </row>
    <row r="323" customFormat="false" ht="14.25" hidden="false" customHeight="true" outlineLevel="0" collapsed="false">
      <c r="A323" s="31"/>
      <c r="B323" s="189"/>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31"/>
      <c r="AD323" s="31"/>
      <c r="AE323" s="31"/>
      <c r="AF323" s="31"/>
      <c r="AG323" s="31"/>
      <c r="AH323" s="32"/>
      <c r="AI323" s="33"/>
      <c r="AJ323" s="34"/>
      <c r="AK323" s="31"/>
      <c r="AL323" s="31"/>
      <c r="AM323" s="31"/>
    </row>
    <row r="324" customFormat="false" ht="14.25" hidden="false" customHeight="true" outlineLevel="0" collapsed="false">
      <c r="A324" s="31"/>
      <c r="B324" s="189"/>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31"/>
      <c r="AD324" s="31"/>
      <c r="AE324" s="31"/>
      <c r="AF324" s="31"/>
      <c r="AG324" s="31"/>
      <c r="AH324" s="32"/>
      <c r="AI324" s="33"/>
      <c r="AJ324" s="34"/>
      <c r="AK324" s="31"/>
      <c r="AL324" s="31"/>
      <c r="AM324" s="31"/>
    </row>
    <row r="325" customFormat="false" ht="14.25" hidden="false" customHeight="true" outlineLevel="0" collapsed="false">
      <c r="A325" s="31"/>
      <c r="B325" s="189"/>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31"/>
      <c r="AD325" s="31"/>
      <c r="AE325" s="31"/>
      <c r="AF325" s="31"/>
      <c r="AG325" s="31"/>
      <c r="AH325" s="32"/>
      <c r="AI325" s="33"/>
      <c r="AJ325" s="34"/>
      <c r="AK325" s="31"/>
      <c r="AL325" s="31"/>
      <c r="AM325" s="31"/>
    </row>
    <row r="326" customFormat="false" ht="14.25" hidden="false" customHeight="true" outlineLevel="0" collapsed="false">
      <c r="A326" s="31"/>
      <c r="B326" s="189"/>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31"/>
      <c r="AD326" s="31"/>
      <c r="AE326" s="31"/>
      <c r="AF326" s="31"/>
      <c r="AG326" s="31"/>
      <c r="AH326" s="32"/>
      <c r="AI326" s="33"/>
      <c r="AJ326" s="34"/>
      <c r="AK326" s="31"/>
      <c r="AL326" s="31"/>
      <c r="AM326" s="31"/>
    </row>
    <row r="327" customFormat="false" ht="14.25" hidden="false" customHeight="true" outlineLevel="0" collapsed="false">
      <c r="A327" s="31"/>
      <c r="B327" s="189"/>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31"/>
      <c r="AD327" s="31"/>
      <c r="AE327" s="31"/>
      <c r="AF327" s="31"/>
      <c r="AG327" s="31"/>
      <c r="AH327" s="32"/>
      <c r="AI327" s="33"/>
      <c r="AJ327" s="34"/>
      <c r="AK327" s="31"/>
      <c r="AL327" s="31"/>
      <c r="AM327" s="31"/>
    </row>
    <row r="328" customFormat="false" ht="14.25" hidden="false" customHeight="true" outlineLevel="0" collapsed="false">
      <c r="A328" s="31"/>
      <c r="B328" s="189"/>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31"/>
      <c r="AD328" s="31"/>
      <c r="AE328" s="31"/>
      <c r="AF328" s="31"/>
      <c r="AG328" s="31"/>
      <c r="AH328" s="32"/>
      <c r="AI328" s="33"/>
      <c r="AJ328" s="34"/>
      <c r="AK328" s="31"/>
      <c r="AL328" s="31"/>
      <c r="AM328" s="31"/>
    </row>
    <row r="329" customFormat="false" ht="14.25" hidden="false" customHeight="true" outlineLevel="0" collapsed="false">
      <c r="A329" s="31"/>
      <c r="B329" s="189"/>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31"/>
      <c r="AD329" s="31"/>
      <c r="AE329" s="31"/>
      <c r="AF329" s="31"/>
      <c r="AG329" s="31"/>
      <c r="AH329" s="32"/>
      <c r="AI329" s="33"/>
      <c r="AJ329" s="34"/>
      <c r="AK329" s="31"/>
      <c r="AL329" s="31"/>
      <c r="AM329" s="31"/>
    </row>
    <row r="330" customFormat="false" ht="14.25" hidden="false" customHeight="true" outlineLevel="0" collapsed="false">
      <c r="A330" s="31"/>
      <c r="B330" s="189"/>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31"/>
      <c r="AD330" s="31"/>
      <c r="AE330" s="31"/>
      <c r="AF330" s="31"/>
      <c r="AG330" s="31"/>
      <c r="AH330" s="32"/>
      <c r="AI330" s="33"/>
      <c r="AJ330" s="34"/>
      <c r="AK330" s="31"/>
      <c r="AL330" s="31"/>
      <c r="AM330" s="31"/>
    </row>
    <row r="331" customFormat="false" ht="14.25" hidden="false" customHeight="true" outlineLevel="0" collapsed="false">
      <c r="A331" s="31"/>
      <c r="B331" s="189"/>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31"/>
      <c r="AD331" s="31"/>
      <c r="AE331" s="31"/>
      <c r="AF331" s="31"/>
      <c r="AG331" s="31"/>
      <c r="AH331" s="32"/>
      <c r="AI331" s="33"/>
      <c r="AJ331" s="34"/>
      <c r="AK331" s="31"/>
      <c r="AL331" s="31"/>
      <c r="AM331" s="31"/>
    </row>
    <row r="332" customFormat="false" ht="14.25" hidden="false" customHeight="true" outlineLevel="0" collapsed="false">
      <c r="A332" s="31"/>
      <c r="B332" s="189"/>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31"/>
      <c r="AD332" s="31"/>
      <c r="AE332" s="31"/>
      <c r="AF332" s="31"/>
      <c r="AG332" s="31"/>
      <c r="AH332" s="32"/>
      <c r="AI332" s="33"/>
      <c r="AJ332" s="34"/>
      <c r="AK332" s="31"/>
      <c r="AL332" s="31"/>
      <c r="AM332" s="31"/>
    </row>
    <row r="333" customFormat="false" ht="14.25" hidden="false" customHeight="true" outlineLevel="0" collapsed="false">
      <c r="A333" s="31"/>
      <c r="B333" s="189"/>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31"/>
      <c r="AD333" s="31"/>
      <c r="AE333" s="31"/>
      <c r="AF333" s="31"/>
      <c r="AG333" s="31"/>
      <c r="AH333" s="32"/>
      <c r="AI333" s="33"/>
      <c r="AJ333" s="34"/>
      <c r="AK333" s="31"/>
      <c r="AL333" s="31"/>
      <c r="AM333" s="31"/>
    </row>
    <row r="334" customFormat="false" ht="14.25" hidden="false" customHeight="true" outlineLevel="0" collapsed="false">
      <c r="A334" s="31"/>
      <c r="B334" s="189"/>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31"/>
      <c r="AD334" s="31"/>
      <c r="AE334" s="31"/>
      <c r="AF334" s="31"/>
      <c r="AG334" s="31"/>
      <c r="AH334" s="32"/>
      <c r="AI334" s="33"/>
      <c r="AJ334" s="34"/>
      <c r="AK334" s="31"/>
      <c r="AL334" s="31"/>
      <c r="AM334" s="31"/>
    </row>
    <row r="335" customFormat="false" ht="14.25" hidden="false" customHeight="true" outlineLevel="0" collapsed="false">
      <c r="A335" s="31"/>
      <c r="B335" s="189"/>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31"/>
      <c r="AD335" s="31"/>
      <c r="AE335" s="31"/>
      <c r="AF335" s="31"/>
      <c r="AG335" s="31"/>
      <c r="AH335" s="32"/>
      <c r="AI335" s="33"/>
      <c r="AJ335" s="34"/>
      <c r="AK335" s="31"/>
      <c r="AL335" s="31"/>
      <c r="AM335" s="31"/>
    </row>
    <row r="336" customFormat="false" ht="14.25" hidden="false" customHeight="true" outlineLevel="0" collapsed="false">
      <c r="A336" s="31"/>
      <c r="B336" s="189"/>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31"/>
      <c r="AD336" s="31"/>
      <c r="AE336" s="31"/>
      <c r="AF336" s="31"/>
      <c r="AG336" s="31"/>
      <c r="AH336" s="32"/>
      <c r="AI336" s="33"/>
      <c r="AJ336" s="34"/>
      <c r="AK336" s="31"/>
      <c r="AL336" s="31"/>
      <c r="AM336" s="31"/>
    </row>
    <row r="337" customFormat="false" ht="14.25" hidden="false" customHeight="true" outlineLevel="0" collapsed="false">
      <c r="A337" s="31"/>
      <c r="B337" s="189"/>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31"/>
      <c r="AD337" s="31"/>
      <c r="AE337" s="31"/>
      <c r="AF337" s="31"/>
      <c r="AG337" s="31"/>
      <c r="AH337" s="32"/>
      <c r="AI337" s="33"/>
      <c r="AJ337" s="34"/>
      <c r="AK337" s="31"/>
      <c r="AL337" s="31"/>
      <c r="AM337" s="31"/>
    </row>
    <row r="338" customFormat="false" ht="14.25" hidden="false" customHeight="true" outlineLevel="0" collapsed="false">
      <c r="A338" s="31"/>
      <c r="B338" s="189"/>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31"/>
      <c r="AD338" s="31"/>
      <c r="AE338" s="31"/>
      <c r="AF338" s="31"/>
      <c r="AG338" s="31"/>
      <c r="AH338" s="32"/>
      <c r="AI338" s="33"/>
      <c r="AJ338" s="34"/>
      <c r="AK338" s="31"/>
      <c r="AL338" s="31"/>
      <c r="AM338" s="31"/>
    </row>
    <row r="339" customFormat="false" ht="14.25" hidden="false" customHeight="true" outlineLevel="0" collapsed="false">
      <c r="A339" s="31"/>
      <c r="B339" s="189"/>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31"/>
      <c r="AD339" s="31"/>
      <c r="AE339" s="31"/>
      <c r="AF339" s="31"/>
      <c r="AG339" s="31"/>
      <c r="AH339" s="32"/>
      <c r="AI339" s="33"/>
      <c r="AJ339" s="34"/>
      <c r="AK339" s="31"/>
      <c r="AL339" s="31"/>
      <c r="AM339" s="31"/>
    </row>
    <row r="340" customFormat="false" ht="14.25" hidden="false" customHeight="true" outlineLevel="0" collapsed="false">
      <c r="A340" s="31"/>
      <c r="B340" s="189"/>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31"/>
      <c r="AD340" s="31"/>
      <c r="AE340" s="31"/>
      <c r="AF340" s="31"/>
      <c r="AG340" s="31"/>
      <c r="AH340" s="32"/>
      <c r="AI340" s="33"/>
      <c r="AJ340" s="34"/>
      <c r="AK340" s="31"/>
      <c r="AL340" s="31"/>
      <c r="AM340" s="31"/>
    </row>
    <row r="341" customFormat="false" ht="14.25" hidden="false" customHeight="true" outlineLevel="0" collapsed="false">
      <c r="A341" s="31"/>
      <c r="B341" s="189"/>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31"/>
      <c r="AD341" s="31"/>
      <c r="AE341" s="31"/>
      <c r="AF341" s="31"/>
      <c r="AG341" s="31"/>
      <c r="AH341" s="32"/>
      <c r="AI341" s="33"/>
      <c r="AJ341" s="34"/>
      <c r="AK341" s="31"/>
      <c r="AL341" s="31"/>
      <c r="AM341" s="31"/>
    </row>
    <row r="342" customFormat="false" ht="14.25" hidden="false" customHeight="true" outlineLevel="0" collapsed="false">
      <c r="A342" s="31"/>
      <c r="B342" s="189"/>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31"/>
      <c r="AD342" s="31"/>
      <c r="AE342" s="31"/>
      <c r="AF342" s="31"/>
      <c r="AG342" s="31"/>
      <c r="AH342" s="32"/>
      <c r="AI342" s="33"/>
      <c r="AJ342" s="34"/>
      <c r="AK342" s="31"/>
      <c r="AL342" s="31"/>
      <c r="AM342" s="31"/>
    </row>
    <row r="343" customFormat="false" ht="14.25" hidden="false" customHeight="true" outlineLevel="0" collapsed="false">
      <c r="A343" s="31"/>
      <c r="B343" s="189"/>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31"/>
      <c r="AD343" s="31"/>
      <c r="AE343" s="31"/>
      <c r="AF343" s="31"/>
      <c r="AG343" s="31"/>
      <c r="AH343" s="32"/>
      <c r="AI343" s="33"/>
      <c r="AJ343" s="34"/>
      <c r="AK343" s="31"/>
      <c r="AL343" s="31"/>
      <c r="AM343" s="31"/>
    </row>
    <row r="344" customFormat="false" ht="14.25" hidden="false" customHeight="true" outlineLevel="0" collapsed="false">
      <c r="A344" s="31"/>
      <c r="B344" s="189"/>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31"/>
      <c r="AD344" s="31"/>
      <c r="AE344" s="31"/>
      <c r="AF344" s="31"/>
      <c r="AG344" s="31"/>
      <c r="AH344" s="32"/>
      <c r="AI344" s="33"/>
      <c r="AJ344" s="34"/>
      <c r="AK344" s="31"/>
      <c r="AL344" s="31"/>
      <c r="AM344" s="31"/>
    </row>
    <row r="345" customFormat="false" ht="14.25" hidden="false" customHeight="true" outlineLevel="0" collapsed="false">
      <c r="A345" s="31"/>
      <c r="B345" s="189"/>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31"/>
      <c r="AD345" s="31"/>
      <c r="AE345" s="31"/>
      <c r="AF345" s="31"/>
      <c r="AG345" s="31"/>
      <c r="AH345" s="32"/>
      <c r="AI345" s="33"/>
      <c r="AJ345" s="34"/>
      <c r="AK345" s="31"/>
      <c r="AL345" s="31"/>
      <c r="AM345" s="31"/>
    </row>
    <row r="346" customFormat="false" ht="14.25" hidden="false" customHeight="true" outlineLevel="0" collapsed="false">
      <c r="A346" s="31"/>
      <c r="B346" s="189"/>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31"/>
      <c r="AD346" s="31"/>
      <c r="AE346" s="31"/>
      <c r="AF346" s="31"/>
      <c r="AG346" s="31"/>
      <c r="AH346" s="32"/>
      <c r="AI346" s="33"/>
      <c r="AJ346" s="34"/>
      <c r="AK346" s="31"/>
      <c r="AL346" s="31"/>
      <c r="AM346" s="31"/>
    </row>
    <row r="347" customFormat="false" ht="14.25" hidden="false" customHeight="true" outlineLevel="0" collapsed="false">
      <c r="A347" s="31"/>
      <c r="B347" s="189"/>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31"/>
      <c r="AD347" s="31"/>
      <c r="AE347" s="31"/>
      <c r="AF347" s="31"/>
      <c r="AG347" s="31"/>
      <c r="AH347" s="32"/>
      <c r="AI347" s="33"/>
      <c r="AJ347" s="34"/>
      <c r="AK347" s="31"/>
      <c r="AL347" s="31"/>
      <c r="AM347" s="31"/>
    </row>
    <row r="348" customFormat="false" ht="14.25" hidden="false" customHeight="true" outlineLevel="0" collapsed="false">
      <c r="A348" s="31"/>
      <c r="B348" s="189"/>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31"/>
      <c r="AD348" s="31"/>
      <c r="AE348" s="31"/>
      <c r="AF348" s="31"/>
      <c r="AG348" s="31"/>
      <c r="AH348" s="32"/>
      <c r="AI348" s="33"/>
      <c r="AJ348" s="34"/>
      <c r="AK348" s="31"/>
      <c r="AL348" s="31"/>
      <c r="AM348" s="31"/>
    </row>
    <row r="349" customFormat="false" ht="14.25" hidden="false" customHeight="true" outlineLevel="0" collapsed="false">
      <c r="A349" s="31"/>
      <c r="B349" s="189"/>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31"/>
      <c r="AD349" s="31"/>
      <c r="AE349" s="31"/>
      <c r="AF349" s="31"/>
      <c r="AG349" s="31"/>
      <c r="AH349" s="32"/>
      <c r="AI349" s="33"/>
      <c r="AJ349" s="34"/>
      <c r="AK349" s="31"/>
      <c r="AL349" s="31"/>
      <c r="AM349" s="31"/>
    </row>
    <row r="350" customFormat="false" ht="14.25" hidden="false" customHeight="true" outlineLevel="0" collapsed="false">
      <c r="A350" s="31"/>
      <c r="B350" s="189"/>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31"/>
      <c r="AD350" s="31"/>
      <c r="AE350" s="31"/>
      <c r="AF350" s="31"/>
      <c r="AG350" s="31"/>
      <c r="AH350" s="32"/>
      <c r="AI350" s="33"/>
      <c r="AJ350" s="34"/>
      <c r="AK350" s="31"/>
      <c r="AL350" s="31"/>
      <c r="AM350" s="31"/>
    </row>
    <row r="351" customFormat="false" ht="14.25" hidden="false" customHeight="true" outlineLevel="0" collapsed="false">
      <c r="A351" s="31"/>
      <c r="B351" s="189"/>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31"/>
      <c r="AD351" s="31"/>
      <c r="AE351" s="31"/>
      <c r="AF351" s="31"/>
      <c r="AG351" s="31"/>
      <c r="AH351" s="32"/>
      <c r="AI351" s="33"/>
      <c r="AJ351" s="34"/>
      <c r="AK351" s="31"/>
      <c r="AL351" s="31"/>
      <c r="AM351" s="31"/>
    </row>
    <row r="352" customFormat="false" ht="14.25" hidden="false" customHeight="true" outlineLevel="0" collapsed="false">
      <c r="A352" s="31"/>
      <c r="B352" s="189"/>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31"/>
      <c r="AD352" s="31"/>
      <c r="AE352" s="31"/>
      <c r="AF352" s="31"/>
      <c r="AG352" s="31"/>
      <c r="AH352" s="32"/>
      <c r="AI352" s="33"/>
      <c r="AJ352" s="34"/>
      <c r="AK352" s="31"/>
      <c r="AL352" s="31"/>
      <c r="AM352" s="31"/>
    </row>
    <row r="353" customFormat="false" ht="14.25" hidden="false" customHeight="true" outlineLevel="0" collapsed="false">
      <c r="A353" s="31"/>
      <c r="B353" s="189"/>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31"/>
      <c r="AD353" s="31"/>
      <c r="AE353" s="31"/>
      <c r="AF353" s="31"/>
      <c r="AG353" s="31"/>
      <c r="AH353" s="32"/>
      <c r="AI353" s="33"/>
      <c r="AJ353" s="34"/>
      <c r="AK353" s="31"/>
      <c r="AL353" s="31"/>
      <c r="AM353" s="31"/>
    </row>
    <row r="354" customFormat="false" ht="14.25" hidden="false" customHeight="true" outlineLevel="0" collapsed="false">
      <c r="A354" s="31"/>
      <c r="B354" s="189"/>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31"/>
      <c r="AD354" s="31"/>
      <c r="AE354" s="31"/>
      <c r="AF354" s="31"/>
      <c r="AG354" s="31"/>
      <c r="AH354" s="32"/>
      <c r="AI354" s="33"/>
      <c r="AJ354" s="34"/>
      <c r="AK354" s="31"/>
      <c r="AL354" s="31"/>
      <c r="AM354" s="31"/>
    </row>
    <row r="355" customFormat="false" ht="14.25" hidden="false" customHeight="true" outlineLevel="0" collapsed="false">
      <c r="A355" s="31"/>
      <c r="B355" s="189"/>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31"/>
      <c r="AD355" s="31"/>
      <c r="AE355" s="31"/>
      <c r="AF355" s="31"/>
      <c r="AG355" s="31"/>
      <c r="AH355" s="32"/>
      <c r="AI355" s="33"/>
      <c r="AJ355" s="34"/>
      <c r="AK355" s="31"/>
      <c r="AL355" s="31"/>
      <c r="AM355" s="31"/>
    </row>
    <row r="356" customFormat="false" ht="14.25" hidden="false" customHeight="true" outlineLevel="0" collapsed="false">
      <c r="A356" s="31"/>
      <c r="B356" s="189"/>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31"/>
      <c r="AD356" s="31"/>
      <c r="AE356" s="31"/>
      <c r="AF356" s="31"/>
      <c r="AG356" s="31"/>
      <c r="AH356" s="32"/>
      <c r="AI356" s="33"/>
      <c r="AJ356" s="34"/>
      <c r="AK356" s="31"/>
      <c r="AL356" s="31"/>
      <c r="AM356" s="31"/>
    </row>
    <row r="357" customFormat="false" ht="14.25" hidden="false" customHeight="true" outlineLevel="0" collapsed="false">
      <c r="A357" s="31"/>
      <c r="B357" s="189"/>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31"/>
      <c r="AD357" s="31"/>
      <c r="AE357" s="31"/>
      <c r="AF357" s="31"/>
      <c r="AG357" s="31"/>
      <c r="AH357" s="32"/>
      <c r="AI357" s="33"/>
      <c r="AJ357" s="34"/>
      <c r="AK357" s="31"/>
      <c r="AL357" s="31"/>
      <c r="AM357" s="31"/>
    </row>
    <row r="358" customFormat="false" ht="14.25" hidden="false" customHeight="true" outlineLevel="0" collapsed="false">
      <c r="A358" s="31"/>
      <c r="B358" s="189"/>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31"/>
      <c r="AD358" s="31"/>
      <c r="AE358" s="31"/>
      <c r="AF358" s="31"/>
      <c r="AG358" s="31"/>
      <c r="AH358" s="32"/>
      <c r="AI358" s="33"/>
      <c r="AJ358" s="34"/>
      <c r="AK358" s="31"/>
      <c r="AL358" s="31"/>
      <c r="AM358" s="31"/>
    </row>
    <row r="359" customFormat="false" ht="14.25" hidden="false" customHeight="true" outlineLevel="0" collapsed="false">
      <c r="A359" s="31"/>
      <c r="B359" s="189"/>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31"/>
      <c r="AD359" s="31"/>
      <c r="AE359" s="31"/>
      <c r="AF359" s="31"/>
      <c r="AG359" s="31"/>
      <c r="AH359" s="32"/>
      <c r="AI359" s="33"/>
      <c r="AJ359" s="34"/>
      <c r="AK359" s="31"/>
      <c r="AL359" s="31"/>
      <c r="AM359" s="31"/>
    </row>
    <row r="360" customFormat="false" ht="14.25" hidden="false" customHeight="true" outlineLevel="0" collapsed="false">
      <c r="A360" s="31"/>
      <c r="B360" s="189"/>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31"/>
      <c r="AD360" s="31"/>
      <c r="AE360" s="31"/>
      <c r="AF360" s="31"/>
      <c r="AG360" s="31"/>
      <c r="AH360" s="32"/>
      <c r="AI360" s="33"/>
      <c r="AJ360" s="34"/>
      <c r="AK360" s="31"/>
      <c r="AL360" s="31"/>
      <c r="AM360" s="31"/>
    </row>
    <row r="361" customFormat="false" ht="14.25" hidden="false" customHeight="true" outlineLevel="0" collapsed="false">
      <c r="A361" s="31"/>
      <c r="B361" s="189"/>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31"/>
      <c r="AD361" s="31"/>
      <c r="AE361" s="31"/>
      <c r="AF361" s="31"/>
      <c r="AG361" s="31"/>
      <c r="AH361" s="32"/>
      <c r="AI361" s="33"/>
      <c r="AJ361" s="34"/>
      <c r="AK361" s="31"/>
      <c r="AL361" s="31"/>
      <c r="AM361" s="31"/>
    </row>
    <row r="362" customFormat="false" ht="14.25" hidden="false" customHeight="true" outlineLevel="0" collapsed="false">
      <c r="A362" s="31"/>
      <c r="B362" s="189"/>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31"/>
      <c r="AD362" s="31"/>
      <c r="AE362" s="31"/>
      <c r="AF362" s="31"/>
      <c r="AG362" s="31"/>
      <c r="AH362" s="32"/>
      <c r="AI362" s="33"/>
      <c r="AJ362" s="34"/>
      <c r="AK362" s="31"/>
      <c r="AL362" s="31"/>
      <c r="AM362" s="31"/>
    </row>
    <row r="363" customFormat="false" ht="14.25" hidden="false" customHeight="true" outlineLevel="0" collapsed="false">
      <c r="A363" s="31"/>
      <c r="B363" s="189"/>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31"/>
      <c r="AD363" s="31"/>
      <c r="AE363" s="31"/>
      <c r="AF363" s="31"/>
      <c r="AG363" s="31"/>
      <c r="AH363" s="32"/>
      <c r="AI363" s="33"/>
      <c r="AJ363" s="34"/>
      <c r="AK363" s="31"/>
      <c r="AL363" s="31"/>
      <c r="AM363" s="31"/>
    </row>
    <row r="364" customFormat="false" ht="14.25" hidden="false" customHeight="true" outlineLevel="0" collapsed="false">
      <c r="A364" s="31"/>
      <c r="B364" s="189"/>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31"/>
      <c r="AD364" s="31"/>
      <c r="AE364" s="31"/>
      <c r="AF364" s="31"/>
      <c r="AG364" s="31"/>
      <c r="AH364" s="32"/>
      <c r="AI364" s="33"/>
      <c r="AJ364" s="34"/>
      <c r="AK364" s="31"/>
      <c r="AL364" s="31"/>
      <c r="AM364" s="31"/>
    </row>
    <row r="365" customFormat="false" ht="14.25" hidden="false" customHeight="true" outlineLevel="0" collapsed="false">
      <c r="A365" s="31"/>
      <c r="B365" s="189"/>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31"/>
      <c r="AD365" s="31"/>
      <c r="AE365" s="31"/>
      <c r="AF365" s="31"/>
      <c r="AG365" s="31"/>
      <c r="AH365" s="32"/>
      <c r="AI365" s="33"/>
      <c r="AJ365" s="34"/>
      <c r="AK365" s="31"/>
      <c r="AL365" s="31"/>
      <c r="AM365" s="31"/>
    </row>
    <row r="366" customFormat="false" ht="14.25" hidden="false" customHeight="true" outlineLevel="0" collapsed="false">
      <c r="A366" s="31"/>
      <c r="B366" s="189"/>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31"/>
      <c r="AD366" s="31"/>
      <c r="AE366" s="31"/>
      <c r="AF366" s="31"/>
      <c r="AG366" s="31"/>
      <c r="AH366" s="32"/>
      <c r="AI366" s="33"/>
      <c r="AJ366" s="34"/>
      <c r="AK366" s="31"/>
      <c r="AL366" s="31"/>
      <c r="AM366" s="31"/>
    </row>
    <row r="367" customFormat="false" ht="14.25" hidden="false" customHeight="true" outlineLevel="0" collapsed="false">
      <c r="A367" s="31"/>
      <c r="B367" s="189"/>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31"/>
      <c r="AD367" s="31"/>
      <c r="AE367" s="31"/>
      <c r="AF367" s="31"/>
      <c r="AG367" s="31"/>
      <c r="AH367" s="32"/>
      <c r="AI367" s="33"/>
      <c r="AJ367" s="34"/>
      <c r="AK367" s="31"/>
      <c r="AL367" s="31"/>
      <c r="AM367" s="31"/>
    </row>
    <row r="368" customFormat="false" ht="14.25" hidden="false" customHeight="true" outlineLevel="0" collapsed="false">
      <c r="A368" s="31"/>
      <c r="B368" s="189"/>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31"/>
      <c r="AD368" s="31"/>
      <c r="AE368" s="31"/>
      <c r="AF368" s="31"/>
      <c r="AG368" s="31"/>
      <c r="AH368" s="32"/>
      <c r="AI368" s="33"/>
      <c r="AJ368" s="34"/>
      <c r="AK368" s="31"/>
      <c r="AL368" s="31"/>
      <c r="AM368" s="31"/>
    </row>
    <row r="369" customFormat="false" ht="14.25" hidden="false" customHeight="true" outlineLevel="0" collapsed="false">
      <c r="A369" s="31"/>
      <c r="B369" s="189"/>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31"/>
      <c r="AD369" s="31"/>
      <c r="AE369" s="31"/>
      <c r="AF369" s="31"/>
      <c r="AG369" s="31"/>
      <c r="AH369" s="32"/>
      <c r="AI369" s="33"/>
      <c r="AJ369" s="34"/>
      <c r="AK369" s="31"/>
      <c r="AL369" s="31"/>
      <c r="AM369" s="31"/>
    </row>
    <row r="370" customFormat="false" ht="14.25" hidden="false" customHeight="true" outlineLevel="0" collapsed="false">
      <c r="A370" s="31"/>
      <c r="B370" s="189"/>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31"/>
      <c r="AD370" s="31"/>
      <c r="AE370" s="31"/>
      <c r="AF370" s="31"/>
      <c r="AG370" s="31"/>
      <c r="AH370" s="32"/>
      <c r="AI370" s="33"/>
      <c r="AJ370" s="34"/>
      <c r="AK370" s="31"/>
      <c r="AL370" s="31"/>
      <c r="AM370" s="31"/>
    </row>
    <row r="371" customFormat="false" ht="14.25" hidden="false" customHeight="true" outlineLevel="0" collapsed="false">
      <c r="A371" s="31"/>
      <c r="B371" s="189"/>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31"/>
      <c r="AD371" s="31"/>
      <c r="AE371" s="31"/>
      <c r="AF371" s="31"/>
      <c r="AG371" s="31"/>
      <c r="AH371" s="32"/>
      <c r="AI371" s="33"/>
      <c r="AJ371" s="34"/>
      <c r="AK371" s="31"/>
      <c r="AL371" s="31"/>
      <c r="AM371" s="31"/>
    </row>
    <row r="372" customFormat="false" ht="14.25" hidden="false" customHeight="true" outlineLevel="0" collapsed="false">
      <c r="A372" s="31"/>
      <c r="B372" s="189"/>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31"/>
      <c r="AD372" s="31"/>
      <c r="AE372" s="31"/>
      <c r="AF372" s="31"/>
      <c r="AG372" s="31"/>
      <c r="AH372" s="32"/>
      <c r="AI372" s="33"/>
      <c r="AJ372" s="34"/>
      <c r="AK372" s="31"/>
      <c r="AL372" s="31"/>
      <c r="AM372" s="31"/>
    </row>
    <row r="373" customFormat="false" ht="14.25" hidden="false" customHeight="true" outlineLevel="0" collapsed="false">
      <c r="A373" s="31"/>
      <c r="B373" s="189"/>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31"/>
      <c r="AD373" s="31"/>
      <c r="AE373" s="31"/>
      <c r="AF373" s="31"/>
      <c r="AG373" s="31"/>
      <c r="AH373" s="32"/>
      <c r="AI373" s="33"/>
      <c r="AJ373" s="34"/>
      <c r="AK373" s="31"/>
      <c r="AL373" s="31"/>
      <c r="AM373" s="31"/>
    </row>
    <row r="374" customFormat="false" ht="14.25" hidden="false" customHeight="true" outlineLevel="0" collapsed="false">
      <c r="A374" s="31"/>
      <c r="B374" s="189"/>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31"/>
      <c r="AD374" s="31"/>
      <c r="AE374" s="31"/>
      <c r="AF374" s="31"/>
      <c r="AG374" s="31"/>
      <c r="AH374" s="32"/>
      <c r="AI374" s="33"/>
      <c r="AJ374" s="34"/>
      <c r="AK374" s="31"/>
      <c r="AL374" s="31"/>
      <c r="AM374" s="31"/>
    </row>
    <row r="375" customFormat="false" ht="14.25" hidden="false" customHeight="true" outlineLevel="0" collapsed="false">
      <c r="A375" s="31"/>
      <c r="B375" s="189"/>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31"/>
      <c r="AD375" s="31"/>
      <c r="AE375" s="31"/>
      <c r="AF375" s="31"/>
      <c r="AG375" s="31"/>
      <c r="AH375" s="32"/>
      <c r="AI375" s="33"/>
      <c r="AJ375" s="34"/>
      <c r="AK375" s="31"/>
      <c r="AL375" s="31"/>
      <c r="AM375" s="31"/>
    </row>
    <row r="376" customFormat="false" ht="14.25" hidden="false" customHeight="true" outlineLevel="0" collapsed="false">
      <c r="A376" s="31"/>
      <c r="B376" s="189"/>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31"/>
      <c r="AD376" s="31"/>
      <c r="AE376" s="31"/>
      <c r="AF376" s="31"/>
      <c r="AG376" s="31"/>
      <c r="AH376" s="32"/>
      <c r="AI376" s="33"/>
      <c r="AJ376" s="34"/>
      <c r="AK376" s="31"/>
      <c r="AL376" s="31"/>
      <c r="AM376" s="31"/>
    </row>
    <row r="377" customFormat="false" ht="14.25" hidden="false" customHeight="true" outlineLevel="0" collapsed="false">
      <c r="A377" s="31"/>
      <c r="B377" s="189"/>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31"/>
      <c r="AD377" s="31"/>
      <c r="AE377" s="31"/>
      <c r="AF377" s="31"/>
      <c r="AG377" s="31"/>
      <c r="AH377" s="32"/>
      <c r="AI377" s="33"/>
      <c r="AJ377" s="34"/>
      <c r="AK377" s="31"/>
      <c r="AL377" s="31"/>
      <c r="AM377" s="31"/>
    </row>
    <row r="378" customFormat="false" ht="14.25" hidden="false" customHeight="true" outlineLevel="0" collapsed="false">
      <c r="A378" s="31"/>
      <c r="B378" s="189"/>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31"/>
      <c r="AD378" s="31"/>
      <c r="AE378" s="31"/>
      <c r="AF378" s="31"/>
      <c r="AG378" s="31"/>
      <c r="AH378" s="32"/>
      <c r="AI378" s="33"/>
      <c r="AJ378" s="34"/>
      <c r="AK378" s="31"/>
      <c r="AL378" s="31"/>
      <c r="AM378" s="31"/>
    </row>
    <row r="379" customFormat="false" ht="14.25" hidden="false" customHeight="true" outlineLevel="0" collapsed="false">
      <c r="A379" s="31"/>
      <c r="B379" s="189"/>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31"/>
      <c r="AD379" s="31"/>
      <c r="AE379" s="31"/>
      <c r="AF379" s="31"/>
      <c r="AG379" s="31"/>
      <c r="AH379" s="32"/>
      <c r="AI379" s="33"/>
      <c r="AJ379" s="34"/>
      <c r="AK379" s="31"/>
      <c r="AL379" s="31"/>
      <c r="AM379" s="31"/>
    </row>
    <row r="380" customFormat="false" ht="14.25" hidden="false" customHeight="true" outlineLevel="0" collapsed="false">
      <c r="A380" s="31"/>
      <c r="B380" s="189"/>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31"/>
      <c r="AD380" s="31"/>
      <c r="AE380" s="31"/>
      <c r="AF380" s="31"/>
      <c r="AG380" s="31"/>
      <c r="AH380" s="32"/>
      <c r="AI380" s="33"/>
      <c r="AJ380" s="34"/>
      <c r="AK380" s="31"/>
      <c r="AL380" s="31"/>
      <c r="AM380" s="31"/>
    </row>
    <row r="381" customFormat="false" ht="14.25" hidden="false" customHeight="true" outlineLevel="0" collapsed="false">
      <c r="A381" s="31"/>
      <c r="B381" s="189"/>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31"/>
      <c r="AD381" s="31"/>
      <c r="AE381" s="31"/>
      <c r="AF381" s="31"/>
      <c r="AG381" s="31"/>
      <c r="AH381" s="32"/>
      <c r="AI381" s="33"/>
      <c r="AJ381" s="34"/>
      <c r="AK381" s="31"/>
      <c r="AL381" s="31"/>
      <c r="AM381" s="31"/>
    </row>
    <row r="382" customFormat="false" ht="14.25" hidden="false" customHeight="true" outlineLevel="0" collapsed="false">
      <c r="A382" s="31"/>
      <c r="B382" s="189"/>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31"/>
      <c r="AD382" s="31"/>
      <c r="AE382" s="31"/>
      <c r="AF382" s="31"/>
      <c r="AG382" s="31"/>
      <c r="AH382" s="32"/>
      <c r="AI382" s="33"/>
      <c r="AJ382" s="34"/>
      <c r="AK382" s="31"/>
      <c r="AL382" s="31"/>
      <c r="AM382" s="31"/>
    </row>
    <row r="383" customFormat="false" ht="14.25" hidden="false" customHeight="true" outlineLevel="0" collapsed="false">
      <c r="A383" s="31"/>
      <c r="B383" s="189"/>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31"/>
      <c r="AD383" s="31"/>
      <c r="AE383" s="31"/>
      <c r="AF383" s="31"/>
      <c r="AG383" s="31"/>
      <c r="AH383" s="32"/>
      <c r="AI383" s="33"/>
      <c r="AJ383" s="34"/>
      <c r="AK383" s="31"/>
      <c r="AL383" s="31"/>
      <c r="AM383" s="31"/>
    </row>
    <row r="384" customFormat="false" ht="14.25" hidden="false" customHeight="true" outlineLevel="0" collapsed="false">
      <c r="A384" s="31"/>
      <c r="B384" s="189"/>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31"/>
      <c r="AD384" s="31"/>
      <c r="AE384" s="31"/>
      <c r="AF384" s="31"/>
      <c r="AG384" s="31"/>
      <c r="AH384" s="32"/>
      <c r="AI384" s="33"/>
      <c r="AJ384" s="34"/>
      <c r="AK384" s="31"/>
      <c r="AL384" s="31"/>
      <c r="AM384" s="31"/>
    </row>
    <row r="385" customFormat="false" ht="14.25" hidden="false" customHeight="true" outlineLevel="0" collapsed="false">
      <c r="A385" s="31"/>
      <c r="B385" s="189"/>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31"/>
      <c r="AD385" s="31"/>
      <c r="AE385" s="31"/>
      <c r="AF385" s="31"/>
      <c r="AG385" s="31"/>
      <c r="AH385" s="32"/>
      <c r="AI385" s="33"/>
      <c r="AJ385" s="34"/>
      <c r="AK385" s="31"/>
      <c r="AL385" s="31"/>
      <c r="AM385" s="31"/>
    </row>
    <row r="386" customFormat="false" ht="14.25" hidden="false" customHeight="true" outlineLevel="0" collapsed="false">
      <c r="A386" s="31"/>
      <c r="B386" s="189"/>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31"/>
      <c r="AD386" s="31"/>
      <c r="AE386" s="31"/>
      <c r="AF386" s="31"/>
      <c r="AG386" s="31"/>
      <c r="AH386" s="32"/>
      <c r="AI386" s="33"/>
      <c r="AJ386" s="34"/>
      <c r="AK386" s="31"/>
      <c r="AL386" s="31"/>
      <c r="AM386" s="31"/>
    </row>
    <row r="387" customFormat="false" ht="14.25" hidden="false" customHeight="true" outlineLevel="0" collapsed="false">
      <c r="A387" s="31"/>
      <c r="B387" s="189"/>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31"/>
      <c r="AD387" s="31"/>
      <c r="AE387" s="31"/>
      <c r="AF387" s="31"/>
      <c r="AG387" s="31"/>
      <c r="AH387" s="32"/>
      <c r="AI387" s="33"/>
      <c r="AJ387" s="34"/>
      <c r="AK387" s="31"/>
      <c r="AL387" s="31"/>
      <c r="AM387" s="31"/>
    </row>
    <row r="388" customFormat="false" ht="14.25" hidden="false" customHeight="true" outlineLevel="0" collapsed="false">
      <c r="A388" s="31"/>
      <c r="B388" s="189"/>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31"/>
      <c r="AD388" s="31"/>
      <c r="AE388" s="31"/>
      <c r="AF388" s="31"/>
      <c r="AG388" s="31"/>
      <c r="AH388" s="32"/>
      <c r="AI388" s="33"/>
      <c r="AJ388" s="34"/>
      <c r="AK388" s="31"/>
      <c r="AL388" s="31"/>
      <c r="AM388" s="31"/>
    </row>
    <row r="389" customFormat="false" ht="14.25" hidden="false" customHeight="true" outlineLevel="0" collapsed="false">
      <c r="A389" s="31"/>
      <c r="B389" s="189"/>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31"/>
      <c r="AD389" s="31"/>
      <c r="AE389" s="31"/>
      <c r="AF389" s="31"/>
      <c r="AG389" s="31"/>
      <c r="AH389" s="32"/>
      <c r="AI389" s="33"/>
      <c r="AJ389" s="34"/>
      <c r="AK389" s="31"/>
      <c r="AL389" s="31"/>
      <c r="AM389" s="31"/>
    </row>
    <row r="390" customFormat="false" ht="14.25" hidden="false" customHeight="true" outlineLevel="0" collapsed="false">
      <c r="A390" s="31"/>
      <c r="B390" s="189"/>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31"/>
      <c r="AD390" s="31"/>
      <c r="AE390" s="31"/>
      <c r="AF390" s="31"/>
      <c r="AG390" s="31"/>
      <c r="AH390" s="32"/>
      <c r="AI390" s="33"/>
      <c r="AJ390" s="34"/>
      <c r="AK390" s="31"/>
      <c r="AL390" s="31"/>
      <c r="AM390" s="31"/>
    </row>
    <row r="391" customFormat="false" ht="14.25" hidden="false" customHeight="true" outlineLevel="0" collapsed="false">
      <c r="A391" s="31"/>
      <c r="B391" s="189"/>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31"/>
      <c r="AD391" s="31"/>
      <c r="AE391" s="31"/>
      <c r="AF391" s="31"/>
      <c r="AG391" s="31"/>
      <c r="AH391" s="32"/>
      <c r="AI391" s="33"/>
      <c r="AJ391" s="34"/>
      <c r="AK391" s="31"/>
      <c r="AL391" s="31"/>
      <c r="AM391" s="31"/>
    </row>
    <row r="392" customFormat="false" ht="14.25" hidden="false" customHeight="true" outlineLevel="0" collapsed="false">
      <c r="A392" s="31"/>
      <c r="B392" s="189"/>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31"/>
      <c r="AD392" s="31"/>
      <c r="AE392" s="31"/>
      <c r="AF392" s="31"/>
      <c r="AG392" s="31"/>
      <c r="AH392" s="32"/>
      <c r="AI392" s="33"/>
      <c r="AJ392" s="34"/>
      <c r="AK392" s="31"/>
      <c r="AL392" s="31"/>
      <c r="AM392" s="31"/>
    </row>
    <row r="393" customFormat="false" ht="14.25" hidden="false" customHeight="true" outlineLevel="0" collapsed="false">
      <c r="A393" s="31"/>
      <c r="B393" s="189"/>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31"/>
      <c r="AD393" s="31"/>
      <c r="AE393" s="31"/>
      <c r="AF393" s="31"/>
      <c r="AG393" s="31"/>
      <c r="AH393" s="32"/>
      <c r="AI393" s="33"/>
      <c r="AJ393" s="34"/>
      <c r="AK393" s="31"/>
      <c r="AL393" s="31"/>
      <c r="AM393" s="31"/>
    </row>
    <row r="394" customFormat="false" ht="14.25" hidden="false" customHeight="true" outlineLevel="0" collapsed="false">
      <c r="A394" s="31"/>
      <c r="B394" s="189"/>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31"/>
      <c r="AD394" s="31"/>
      <c r="AE394" s="31"/>
      <c r="AF394" s="31"/>
      <c r="AG394" s="31"/>
      <c r="AH394" s="32"/>
      <c r="AI394" s="33"/>
      <c r="AJ394" s="34"/>
      <c r="AK394" s="31"/>
      <c r="AL394" s="31"/>
      <c r="AM394" s="31"/>
    </row>
    <row r="395" customFormat="false" ht="14.25" hidden="false" customHeight="true" outlineLevel="0" collapsed="false">
      <c r="A395" s="31"/>
      <c r="B395" s="189"/>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31"/>
      <c r="AD395" s="31"/>
      <c r="AE395" s="31"/>
      <c r="AF395" s="31"/>
      <c r="AG395" s="31"/>
      <c r="AH395" s="32"/>
      <c r="AI395" s="33"/>
      <c r="AJ395" s="34"/>
      <c r="AK395" s="31"/>
      <c r="AL395" s="31"/>
      <c r="AM395" s="31"/>
    </row>
    <row r="396" customFormat="false" ht="14.25" hidden="false" customHeight="true" outlineLevel="0" collapsed="false">
      <c r="A396" s="31"/>
      <c r="B396" s="189"/>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31"/>
      <c r="AD396" s="31"/>
      <c r="AE396" s="31"/>
      <c r="AF396" s="31"/>
      <c r="AG396" s="31"/>
      <c r="AH396" s="32"/>
      <c r="AI396" s="33"/>
      <c r="AJ396" s="34"/>
      <c r="AK396" s="31"/>
      <c r="AL396" s="31"/>
      <c r="AM396" s="31"/>
    </row>
    <row r="397" customFormat="false" ht="14.25" hidden="false" customHeight="true" outlineLevel="0" collapsed="false">
      <c r="A397" s="31"/>
      <c r="B397" s="189"/>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31"/>
      <c r="AD397" s="31"/>
      <c r="AE397" s="31"/>
      <c r="AF397" s="31"/>
      <c r="AG397" s="31"/>
      <c r="AH397" s="32"/>
      <c r="AI397" s="33"/>
      <c r="AJ397" s="34"/>
      <c r="AK397" s="31"/>
      <c r="AL397" s="31"/>
      <c r="AM397" s="31"/>
    </row>
    <row r="398" customFormat="false" ht="14.25" hidden="false" customHeight="true" outlineLevel="0" collapsed="false">
      <c r="A398" s="31"/>
      <c r="B398" s="189"/>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31"/>
      <c r="AD398" s="31"/>
      <c r="AE398" s="31"/>
      <c r="AF398" s="31"/>
      <c r="AG398" s="31"/>
      <c r="AH398" s="32"/>
      <c r="AI398" s="33"/>
      <c r="AJ398" s="34"/>
      <c r="AK398" s="31"/>
      <c r="AL398" s="31"/>
      <c r="AM398" s="31"/>
    </row>
    <row r="399" customFormat="false" ht="14.25" hidden="false" customHeight="true" outlineLevel="0" collapsed="false">
      <c r="A399" s="31"/>
      <c r="B399" s="189"/>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31"/>
      <c r="AD399" s="31"/>
      <c r="AE399" s="31"/>
      <c r="AF399" s="31"/>
      <c r="AG399" s="31"/>
      <c r="AH399" s="32"/>
      <c r="AI399" s="33"/>
      <c r="AJ399" s="34"/>
      <c r="AK399" s="31"/>
      <c r="AL399" s="31"/>
      <c r="AM399" s="31"/>
    </row>
    <row r="400" customFormat="false" ht="14.25" hidden="false" customHeight="true" outlineLevel="0" collapsed="false">
      <c r="A400" s="31"/>
      <c r="B400" s="189"/>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31"/>
      <c r="AD400" s="31"/>
      <c r="AE400" s="31"/>
      <c r="AF400" s="31"/>
      <c r="AG400" s="31"/>
      <c r="AH400" s="32"/>
      <c r="AI400" s="33"/>
      <c r="AJ400" s="34"/>
      <c r="AK400" s="31"/>
      <c r="AL400" s="31"/>
      <c r="AM400" s="31"/>
    </row>
    <row r="401" customFormat="false" ht="14.25" hidden="false" customHeight="true" outlineLevel="0" collapsed="false">
      <c r="A401" s="31"/>
      <c r="B401" s="189"/>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31"/>
      <c r="AD401" s="31"/>
      <c r="AE401" s="31"/>
      <c r="AF401" s="31"/>
      <c r="AG401" s="31"/>
      <c r="AH401" s="32"/>
      <c r="AI401" s="33"/>
      <c r="AJ401" s="34"/>
      <c r="AK401" s="31"/>
      <c r="AL401" s="31"/>
      <c r="AM401" s="31"/>
    </row>
    <row r="402" customFormat="false" ht="14.25" hidden="false" customHeight="true" outlineLevel="0" collapsed="false">
      <c r="A402" s="31"/>
      <c r="B402" s="189"/>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31"/>
      <c r="AD402" s="31"/>
      <c r="AE402" s="31"/>
      <c r="AF402" s="31"/>
      <c r="AG402" s="31"/>
      <c r="AH402" s="32"/>
      <c r="AI402" s="33"/>
      <c r="AJ402" s="34"/>
      <c r="AK402" s="31"/>
      <c r="AL402" s="31"/>
      <c r="AM402" s="31"/>
    </row>
    <row r="403" customFormat="false" ht="14.25" hidden="false" customHeight="true" outlineLevel="0" collapsed="false">
      <c r="A403" s="31"/>
      <c r="B403" s="189"/>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31"/>
      <c r="AD403" s="31"/>
      <c r="AE403" s="31"/>
      <c r="AF403" s="31"/>
      <c r="AG403" s="31"/>
      <c r="AH403" s="32"/>
      <c r="AI403" s="33"/>
      <c r="AJ403" s="34"/>
      <c r="AK403" s="31"/>
      <c r="AL403" s="31"/>
      <c r="AM403" s="31"/>
    </row>
    <row r="404" customFormat="false" ht="14.25" hidden="false" customHeight="true" outlineLevel="0" collapsed="false">
      <c r="A404" s="31"/>
      <c r="B404" s="189"/>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31"/>
      <c r="AD404" s="31"/>
      <c r="AE404" s="31"/>
      <c r="AF404" s="31"/>
      <c r="AG404" s="31"/>
      <c r="AH404" s="32"/>
      <c r="AI404" s="33"/>
      <c r="AJ404" s="34"/>
      <c r="AK404" s="31"/>
      <c r="AL404" s="31"/>
      <c r="AM404" s="31"/>
    </row>
    <row r="405" customFormat="false" ht="14.25" hidden="false" customHeight="true" outlineLevel="0" collapsed="false">
      <c r="A405" s="31"/>
      <c r="B405" s="189"/>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31"/>
      <c r="AD405" s="31"/>
      <c r="AE405" s="31"/>
      <c r="AF405" s="31"/>
      <c r="AG405" s="31"/>
      <c r="AH405" s="32"/>
      <c r="AI405" s="33"/>
      <c r="AJ405" s="34"/>
      <c r="AK405" s="31"/>
      <c r="AL405" s="31"/>
      <c r="AM405" s="31"/>
    </row>
    <row r="406" customFormat="false" ht="14.25" hidden="false" customHeight="true" outlineLevel="0" collapsed="false">
      <c r="A406" s="31"/>
      <c r="B406" s="189"/>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31"/>
      <c r="AD406" s="31"/>
      <c r="AE406" s="31"/>
      <c r="AF406" s="31"/>
      <c r="AG406" s="31"/>
      <c r="AH406" s="32"/>
      <c r="AI406" s="33"/>
      <c r="AJ406" s="34"/>
      <c r="AK406" s="31"/>
      <c r="AL406" s="31"/>
      <c r="AM406" s="31"/>
    </row>
    <row r="407" customFormat="false" ht="14.25" hidden="false" customHeight="true" outlineLevel="0" collapsed="false">
      <c r="A407" s="31"/>
      <c r="B407" s="189"/>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31"/>
      <c r="AD407" s="31"/>
      <c r="AE407" s="31"/>
      <c r="AF407" s="31"/>
      <c r="AG407" s="31"/>
      <c r="AH407" s="32"/>
      <c r="AI407" s="33"/>
      <c r="AJ407" s="34"/>
      <c r="AK407" s="31"/>
      <c r="AL407" s="31"/>
      <c r="AM407" s="31"/>
    </row>
    <row r="408" customFormat="false" ht="14.25" hidden="false" customHeight="true" outlineLevel="0" collapsed="false">
      <c r="A408" s="31"/>
      <c r="B408" s="189"/>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31"/>
      <c r="AD408" s="31"/>
      <c r="AE408" s="31"/>
      <c r="AF408" s="31"/>
      <c r="AG408" s="31"/>
      <c r="AH408" s="32"/>
      <c r="AI408" s="33"/>
      <c r="AJ408" s="34"/>
      <c r="AK408" s="31"/>
      <c r="AL408" s="31"/>
      <c r="AM408" s="31"/>
    </row>
    <row r="409" customFormat="false" ht="14.25" hidden="false" customHeight="true" outlineLevel="0" collapsed="false">
      <c r="A409" s="31"/>
      <c r="B409" s="189"/>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31"/>
      <c r="AD409" s="31"/>
      <c r="AE409" s="31"/>
      <c r="AF409" s="31"/>
      <c r="AG409" s="31"/>
      <c r="AH409" s="32"/>
      <c r="AI409" s="33"/>
      <c r="AJ409" s="34"/>
      <c r="AK409" s="31"/>
      <c r="AL409" s="31"/>
      <c r="AM409" s="31"/>
    </row>
    <row r="410" customFormat="false" ht="14.25" hidden="false" customHeight="true" outlineLevel="0" collapsed="false">
      <c r="A410" s="31"/>
      <c r="B410" s="189"/>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31"/>
      <c r="AD410" s="31"/>
      <c r="AE410" s="31"/>
      <c r="AF410" s="31"/>
      <c r="AG410" s="31"/>
      <c r="AH410" s="32"/>
      <c r="AI410" s="33"/>
      <c r="AJ410" s="34"/>
      <c r="AK410" s="31"/>
      <c r="AL410" s="31"/>
      <c r="AM410" s="31"/>
    </row>
    <row r="411" customFormat="false" ht="14.25" hidden="false" customHeight="true" outlineLevel="0" collapsed="false">
      <c r="A411" s="31"/>
      <c r="B411" s="189"/>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31"/>
      <c r="AD411" s="31"/>
      <c r="AE411" s="31"/>
      <c r="AF411" s="31"/>
      <c r="AG411" s="31"/>
      <c r="AH411" s="32"/>
      <c r="AI411" s="33"/>
      <c r="AJ411" s="34"/>
      <c r="AK411" s="31"/>
      <c r="AL411" s="31"/>
      <c r="AM411" s="31"/>
    </row>
    <row r="412" customFormat="false" ht="14.25" hidden="false" customHeight="true" outlineLevel="0" collapsed="false">
      <c r="A412" s="31"/>
      <c r="B412" s="189"/>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31"/>
      <c r="AD412" s="31"/>
      <c r="AE412" s="31"/>
      <c r="AF412" s="31"/>
      <c r="AG412" s="31"/>
      <c r="AH412" s="32"/>
      <c r="AI412" s="33"/>
      <c r="AJ412" s="34"/>
      <c r="AK412" s="31"/>
      <c r="AL412" s="31"/>
      <c r="AM412" s="31"/>
    </row>
    <row r="413" customFormat="false" ht="14.25" hidden="false" customHeight="true" outlineLevel="0" collapsed="false">
      <c r="A413" s="31"/>
      <c r="B413" s="189"/>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31"/>
      <c r="AD413" s="31"/>
      <c r="AE413" s="31"/>
      <c r="AF413" s="31"/>
      <c r="AG413" s="31"/>
      <c r="AH413" s="32"/>
      <c r="AI413" s="33"/>
      <c r="AJ413" s="34"/>
      <c r="AK413" s="31"/>
      <c r="AL413" s="31"/>
      <c r="AM413" s="31"/>
    </row>
    <row r="414" customFormat="false" ht="14.25" hidden="false" customHeight="true" outlineLevel="0" collapsed="false">
      <c r="A414" s="31"/>
      <c r="B414" s="189"/>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31"/>
      <c r="AD414" s="31"/>
      <c r="AE414" s="31"/>
      <c r="AF414" s="31"/>
      <c r="AG414" s="31"/>
      <c r="AH414" s="32"/>
      <c r="AI414" s="33"/>
      <c r="AJ414" s="34"/>
      <c r="AK414" s="31"/>
      <c r="AL414" s="31"/>
      <c r="AM414" s="31"/>
    </row>
    <row r="415" customFormat="false" ht="14.25" hidden="false" customHeight="true" outlineLevel="0" collapsed="false">
      <c r="A415" s="31"/>
      <c r="B415" s="189"/>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31"/>
      <c r="AD415" s="31"/>
      <c r="AE415" s="31"/>
      <c r="AF415" s="31"/>
      <c r="AG415" s="31"/>
      <c r="AH415" s="32"/>
      <c r="AI415" s="33"/>
      <c r="AJ415" s="34"/>
      <c r="AK415" s="31"/>
      <c r="AL415" s="31"/>
      <c r="AM415" s="31"/>
    </row>
    <row r="416" customFormat="false" ht="14.25" hidden="false" customHeight="true" outlineLevel="0" collapsed="false">
      <c r="A416" s="31"/>
      <c r="B416" s="189"/>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31"/>
      <c r="AD416" s="31"/>
      <c r="AE416" s="31"/>
      <c r="AF416" s="31"/>
      <c r="AG416" s="31"/>
      <c r="AH416" s="32"/>
      <c r="AI416" s="33"/>
      <c r="AJ416" s="34"/>
      <c r="AK416" s="31"/>
      <c r="AL416" s="31"/>
      <c r="AM416" s="31"/>
    </row>
    <row r="417" customFormat="false" ht="14.25" hidden="false" customHeight="true" outlineLevel="0" collapsed="false">
      <c r="A417" s="31"/>
      <c r="B417" s="189"/>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31"/>
      <c r="AD417" s="31"/>
      <c r="AE417" s="31"/>
      <c r="AF417" s="31"/>
      <c r="AG417" s="31"/>
      <c r="AH417" s="32"/>
      <c r="AI417" s="33"/>
      <c r="AJ417" s="34"/>
      <c r="AK417" s="31"/>
      <c r="AL417" s="31"/>
      <c r="AM417" s="31"/>
    </row>
    <row r="418" customFormat="false" ht="14.25" hidden="false" customHeight="true" outlineLevel="0" collapsed="false">
      <c r="A418" s="31"/>
      <c r="B418" s="189"/>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31"/>
      <c r="AD418" s="31"/>
      <c r="AE418" s="31"/>
      <c r="AF418" s="31"/>
      <c r="AG418" s="31"/>
      <c r="AH418" s="32"/>
      <c r="AI418" s="33"/>
      <c r="AJ418" s="34"/>
      <c r="AK418" s="31"/>
      <c r="AL418" s="31"/>
      <c r="AM418" s="31"/>
    </row>
    <row r="419" customFormat="false" ht="14.25" hidden="false" customHeight="true" outlineLevel="0" collapsed="false">
      <c r="A419" s="31"/>
      <c r="B419" s="189"/>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31"/>
      <c r="AD419" s="31"/>
      <c r="AE419" s="31"/>
      <c r="AF419" s="31"/>
      <c r="AG419" s="31"/>
      <c r="AH419" s="32"/>
      <c r="AI419" s="33"/>
      <c r="AJ419" s="34"/>
      <c r="AK419" s="31"/>
      <c r="AL419" s="31"/>
      <c r="AM419" s="31"/>
    </row>
    <row r="420" customFormat="false" ht="14.25" hidden="false" customHeight="true" outlineLevel="0" collapsed="false">
      <c r="A420" s="31"/>
      <c r="B420" s="189"/>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31"/>
      <c r="AD420" s="31"/>
      <c r="AE420" s="31"/>
      <c r="AF420" s="31"/>
      <c r="AG420" s="31"/>
      <c r="AH420" s="32"/>
      <c r="AI420" s="33"/>
      <c r="AJ420" s="34"/>
      <c r="AK420" s="31"/>
      <c r="AL420" s="31"/>
      <c r="AM420" s="31"/>
    </row>
    <row r="421" customFormat="false" ht="14.25" hidden="false" customHeight="true" outlineLevel="0" collapsed="false">
      <c r="A421" s="31"/>
      <c r="B421" s="189"/>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31"/>
      <c r="AD421" s="31"/>
      <c r="AE421" s="31"/>
      <c r="AF421" s="31"/>
      <c r="AG421" s="31"/>
      <c r="AH421" s="32"/>
      <c r="AI421" s="33"/>
      <c r="AJ421" s="34"/>
      <c r="AK421" s="31"/>
      <c r="AL421" s="31"/>
      <c r="AM421" s="31"/>
    </row>
    <row r="422" customFormat="false" ht="14.25" hidden="false" customHeight="true" outlineLevel="0" collapsed="false">
      <c r="A422" s="31"/>
      <c r="B422" s="189"/>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31"/>
      <c r="AD422" s="31"/>
      <c r="AE422" s="31"/>
      <c r="AF422" s="31"/>
      <c r="AG422" s="31"/>
      <c r="AH422" s="32"/>
      <c r="AI422" s="33"/>
      <c r="AJ422" s="34"/>
      <c r="AK422" s="31"/>
      <c r="AL422" s="31"/>
      <c r="AM422" s="31"/>
    </row>
    <row r="423" customFormat="false" ht="14.25" hidden="false" customHeight="true" outlineLevel="0" collapsed="false">
      <c r="A423" s="31"/>
      <c r="B423" s="189"/>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31"/>
      <c r="AD423" s="31"/>
      <c r="AE423" s="31"/>
      <c r="AF423" s="31"/>
      <c r="AG423" s="31"/>
      <c r="AH423" s="32"/>
      <c r="AI423" s="33"/>
      <c r="AJ423" s="34"/>
      <c r="AK423" s="31"/>
      <c r="AL423" s="31"/>
      <c r="AM423" s="31"/>
    </row>
    <row r="424" customFormat="false" ht="14.25" hidden="false" customHeight="true" outlineLevel="0" collapsed="false">
      <c r="A424" s="31"/>
      <c r="B424" s="189"/>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31"/>
      <c r="AD424" s="31"/>
      <c r="AE424" s="31"/>
      <c r="AF424" s="31"/>
      <c r="AG424" s="31"/>
      <c r="AH424" s="32"/>
      <c r="AI424" s="33"/>
      <c r="AJ424" s="34"/>
      <c r="AK424" s="31"/>
      <c r="AL424" s="31"/>
      <c r="AM424" s="31"/>
    </row>
    <row r="425" customFormat="false" ht="14.25" hidden="false" customHeight="true" outlineLevel="0" collapsed="false">
      <c r="A425" s="31"/>
      <c r="B425" s="189"/>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31"/>
      <c r="AD425" s="31"/>
      <c r="AE425" s="31"/>
      <c r="AF425" s="31"/>
      <c r="AG425" s="31"/>
      <c r="AH425" s="32"/>
      <c r="AI425" s="33"/>
      <c r="AJ425" s="34"/>
      <c r="AK425" s="31"/>
      <c r="AL425" s="31"/>
      <c r="AM425" s="31"/>
    </row>
    <row r="426" customFormat="false" ht="14.25" hidden="false" customHeight="true" outlineLevel="0" collapsed="false">
      <c r="A426" s="31"/>
      <c r="B426" s="189"/>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31"/>
      <c r="AD426" s="31"/>
      <c r="AE426" s="31"/>
      <c r="AF426" s="31"/>
      <c r="AG426" s="31"/>
      <c r="AH426" s="32"/>
      <c r="AI426" s="33"/>
      <c r="AJ426" s="34"/>
      <c r="AK426" s="31"/>
      <c r="AL426" s="31"/>
      <c r="AM426" s="31"/>
    </row>
    <row r="427" customFormat="false" ht="14.25" hidden="false" customHeight="true" outlineLevel="0" collapsed="false">
      <c r="A427" s="31"/>
      <c r="B427" s="189"/>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31"/>
      <c r="AD427" s="31"/>
      <c r="AE427" s="31"/>
      <c r="AF427" s="31"/>
      <c r="AG427" s="31"/>
      <c r="AH427" s="32"/>
      <c r="AI427" s="33"/>
      <c r="AJ427" s="34"/>
      <c r="AK427" s="31"/>
      <c r="AL427" s="31"/>
      <c r="AM427" s="31"/>
    </row>
    <row r="428" customFormat="false" ht="14.25" hidden="false" customHeight="true" outlineLevel="0" collapsed="false">
      <c r="A428" s="31"/>
      <c r="B428" s="189"/>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31"/>
      <c r="AD428" s="31"/>
      <c r="AE428" s="31"/>
      <c r="AF428" s="31"/>
      <c r="AG428" s="31"/>
      <c r="AH428" s="32"/>
      <c r="AI428" s="33"/>
      <c r="AJ428" s="34"/>
      <c r="AK428" s="31"/>
      <c r="AL428" s="31"/>
      <c r="AM428" s="31"/>
    </row>
    <row r="429" customFormat="false" ht="14.25" hidden="false" customHeight="true" outlineLevel="0" collapsed="false">
      <c r="A429" s="31"/>
      <c r="B429" s="189"/>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31"/>
      <c r="AD429" s="31"/>
      <c r="AE429" s="31"/>
      <c r="AF429" s="31"/>
      <c r="AG429" s="31"/>
      <c r="AH429" s="32"/>
      <c r="AI429" s="33"/>
      <c r="AJ429" s="34"/>
      <c r="AK429" s="31"/>
      <c r="AL429" s="31"/>
      <c r="AM429" s="31"/>
    </row>
    <row r="430" customFormat="false" ht="14.25" hidden="false" customHeight="true" outlineLevel="0" collapsed="false">
      <c r="A430" s="31"/>
      <c r="B430" s="189"/>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31"/>
      <c r="AD430" s="31"/>
      <c r="AE430" s="31"/>
      <c r="AF430" s="31"/>
      <c r="AG430" s="31"/>
      <c r="AH430" s="32"/>
      <c r="AI430" s="33"/>
      <c r="AJ430" s="34"/>
      <c r="AK430" s="31"/>
      <c r="AL430" s="31"/>
      <c r="AM430" s="31"/>
    </row>
    <row r="431" customFormat="false" ht="14.25" hidden="false" customHeight="true" outlineLevel="0" collapsed="false">
      <c r="A431" s="31"/>
      <c r="B431" s="189"/>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31"/>
      <c r="AD431" s="31"/>
      <c r="AE431" s="31"/>
      <c r="AF431" s="31"/>
      <c r="AG431" s="31"/>
      <c r="AH431" s="32"/>
      <c r="AI431" s="33"/>
      <c r="AJ431" s="34"/>
      <c r="AK431" s="31"/>
      <c r="AL431" s="31"/>
      <c r="AM431" s="31"/>
    </row>
    <row r="432" customFormat="false" ht="14.25" hidden="false" customHeight="true" outlineLevel="0" collapsed="false">
      <c r="A432" s="31"/>
      <c r="B432" s="189"/>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31"/>
      <c r="AD432" s="31"/>
      <c r="AE432" s="31"/>
      <c r="AF432" s="31"/>
      <c r="AG432" s="31"/>
      <c r="AH432" s="32"/>
      <c r="AI432" s="33"/>
      <c r="AJ432" s="34"/>
      <c r="AK432" s="31"/>
      <c r="AL432" s="31"/>
      <c r="AM432" s="31"/>
    </row>
    <row r="433" customFormat="false" ht="14.25" hidden="false" customHeight="true" outlineLevel="0" collapsed="false">
      <c r="A433" s="31"/>
      <c r="B433" s="189"/>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31"/>
      <c r="AD433" s="31"/>
      <c r="AE433" s="31"/>
      <c r="AF433" s="31"/>
      <c r="AG433" s="31"/>
      <c r="AH433" s="32"/>
      <c r="AI433" s="33"/>
      <c r="AJ433" s="34"/>
      <c r="AK433" s="31"/>
      <c r="AL433" s="31"/>
      <c r="AM433" s="31"/>
    </row>
    <row r="434" customFormat="false" ht="14.25" hidden="false" customHeight="true" outlineLevel="0" collapsed="false">
      <c r="A434" s="31"/>
      <c r="B434" s="189"/>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31"/>
      <c r="AD434" s="31"/>
      <c r="AE434" s="31"/>
      <c r="AF434" s="31"/>
      <c r="AG434" s="31"/>
      <c r="AH434" s="32"/>
      <c r="AI434" s="33"/>
      <c r="AJ434" s="34"/>
      <c r="AK434" s="31"/>
      <c r="AL434" s="31"/>
      <c r="AM434" s="31"/>
    </row>
    <row r="435" customFormat="false" ht="14.25" hidden="false" customHeight="true" outlineLevel="0" collapsed="false">
      <c r="A435" s="31"/>
      <c r="B435" s="189"/>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31"/>
      <c r="AD435" s="31"/>
      <c r="AE435" s="31"/>
      <c r="AF435" s="31"/>
      <c r="AG435" s="31"/>
      <c r="AH435" s="32"/>
      <c r="AI435" s="33"/>
      <c r="AJ435" s="34"/>
      <c r="AK435" s="31"/>
      <c r="AL435" s="31"/>
      <c r="AM435" s="31"/>
    </row>
    <row r="436" customFormat="false" ht="14.25" hidden="false" customHeight="true" outlineLevel="0" collapsed="false">
      <c r="A436" s="31"/>
      <c r="B436" s="189"/>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31"/>
      <c r="AD436" s="31"/>
      <c r="AE436" s="31"/>
      <c r="AF436" s="31"/>
      <c r="AG436" s="31"/>
      <c r="AH436" s="32"/>
      <c r="AI436" s="33"/>
      <c r="AJ436" s="34"/>
      <c r="AK436" s="31"/>
      <c r="AL436" s="31"/>
      <c r="AM436" s="31"/>
    </row>
    <row r="437" customFormat="false" ht="14.25" hidden="false" customHeight="true" outlineLevel="0" collapsed="false">
      <c r="A437" s="31"/>
      <c r="B437" s="189"/>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31"/>
      <c r="AD437" s="31"/>
      <c r="AE437" s="31"/>
      <c r="AF437" s="31"/>
      <c r="AG437" s="31"/>
      <c r="AH437" s="32"/>
      <c r="AI437" s="33"/>
      <c r="AJ437" s="34"/>
      <c r="AK437" s="31"/>
      <c r="AL437" s="31"/>
      <c r="AM437" s="31"/>
    </row>
    <row r="438" customFormat="false" ht="14.25" hidden="false" customHeight="true" outlineLevel="0" collapsed="false">
      <c r="A438" s="31"/>
      <c r="B438" s="189"/>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31"/>
      <c r="AD438" s="31"/>
      <c r="AE438" s="31"/>
      <c r="AF438" s="31"/>
      <c r="AG438" s="31"/>
      <c r="AH438" s="32"/>
      <c r="AI438" s="33"/>
      <c r="AJ438" s="34"/>
      <c r="AK438" s="31"/>
      <c r="AL438" s="31"/>
      <c r="AM438" s="31"/>
    </row>
    <row r="439" customFormat="false" ht="14.25" hidden="false" customHeight="true" outlineLevel="0" collapsed="false">
      <c r="A439" s="31"/>
      <c r="B439" s="189"/>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31"/>
      <c r="AD439" s="31"/>
      <c r="AE439" s="31"/>
      <c r="AF439" s="31"/>
      <c r="AG439" s="31"/>
      <c r="AH439" s="32"/>
      <c r="AI439" s="33"/>
      <c r="AJ439" s="34"/>
      <c r="AK439" s="31"/>
      <c r="AL439" s="31"/>
      <c r="AM439" s="31"/>
    </row>
    <row r="440" customFormat="false" ht="14.25" hidden="false" customHeight="true" outlineLevel="0" collapsed="false">
      <c r="A440" s="31"/>
      <c r="B440" s="189"/>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31"/>
      <c r="AD440" s="31"/>
      <c r="AE440" s="31"/>
      <c r="AF440" s="31"/>
      <c r="AG440" s="31"/>
      <c r="AH440" s="32"/>
      <c r="AI440" s="33"/>
      <c r="AJ440" s="34"/>
      <c r="AK440" s="31"/>
      <c r="AL440" s="31"/>
      <c r="AM440" s="31"/>
    </row>
    <row r="441" customFormat="false" ht="14.25" hidden="false" customHeight="true" outlineLevel="0" collapsed="false">
      <c r="A441" s="31"/>
      <c r="B441" s="189"/>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31"/>
      <c r="AD441" s="31"/>
      <c r="AE441" s="31"/>
      <c r="AF441" s="31"/>
      <c r="AG441" s="31"/>
      <c r="AH441" s="32"/>
      <c r="AI441" s="33"/>
      <c r="AJ441" s="34"/>
      <c r="AK441" s="31"/>
      <c r="AL441" s="31"/>
      <c r="AM441" s="31"/>
    </row>
    <row r="442" customFormat="false" ht="14.25" hidden="false" customHeight="true" outlineLevel="0" collapsed="false">
      <c r="A442" s="31"/>
      <c r="B442" s="189"/>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31"/>
      <c r="AD442" s="31"/>
      <c r="AE442" s="31"/>
      <c r="AF442" s="31"/>
      <c r="AG442" s="31"/>
      <c r="AH442" s="32"/>
      <c r="AI442" s="33"/>
      <c r="AJ442" s="34"/>
      <c r="AK442" s="31"/>
      <c r="AL442" s="31"/>
      <c r="AM442" s="31"/>
    </row>
    <row r="443" customFormat="false" ht="14.25" hidden="false" customHeight="true" outlineLevel="0" collapsed="false">
      <c r="A443" s="31"/>
      <c r="B443" s="189"/>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31"/>
      <c r="AD443" s="31"/>
      <c r="AE443" s="31"/>
      <c r="AF443" s="31"/>
      <c r="AG443" s="31"/>
      <c r="AH443" s="32"/>
      <c r="AI443" s="33"/>
      <c r="AJ443" s="34"/>
      <c r="AK443" s="31"/>
      <c r="AL443" s="31"/>
      <c r="AM443" s="31"/>
    </row>
    <row r="444" customFormat="false" ht="14.25" hidden="false" customHeight="true" outlineLevel="0" collapsed="false">
      <c r="A444" s="31"/>
      <c r="B444" s="189"/>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31"/>
      <c r="AD444" s="31"/>
      <c r="AE444" s="31"/>
      <c r="AF444" s="31"/>
      <c r="AG444" s="31"/>
      <c r="AH444" s="32"/>
      <c r="AI444" s="33"/>
      <c r="AJ444" s="34"/>
      <c r="AK444" s="31"/>
      <c r="AL444" s="31"/>
      <c r="AM444" s="31"/>
    </row>
    <row r="445" customFormat="false" ht="14.25" hidden="false" customHeight="true" outlineLevel="0" collapsed="false">
      <c r="A445" s="31"/>
      <c r="B445" s="189"/>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31"/>
      <c r="AD445" s="31"/>
      <c r="AE445" s="31"/>
      <c r="AF445" s="31"/>
      <c r="AG445" s="31"/>
      <c r="AH445" s="32"/>
      <c r="AI445" s="33"/>
      <c r="AJ445" s="34"/>
      <c r="AK445" s="31"/>
      <c r="AL445" s="31"/>
      <c r="AM445" s="31"/>
    </row>
    <row r="446" customFormat="false" ht="14.25" hidden="false" customHeight="true" outlineLevel="0" collapsed="false">
      <c r="A446" s="31"/>
      <c r="B446" s="189"/>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31"/>
      <c r="AD446" s="31"/>
      <c r="AE446" s="31"/>
      <c r="AF446" s="31"/>
      <c r="AG446" s="31"/>
      <c r="AH446" s="32"/>
      <c r="AI446" s="33"/>
      <c r="AJ446" s="34"/>
      <c r="AK446" s="31"/>
      <c r="AL446" s="31"/>
      <c r="AM446" s="31"/>
    </row>
    <row r="447" customFormat="false" ht="14.25" hidden="false" customHeight="true" outlineLevel="0" collapsed="false">
      <c r="A447" s="31"/>
      <c r="B447" s="189"/>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31"/>
      <c r="AD447" s="31"/>
      <c r="AE447" s="31"/>
      <c r="AF447" s="31"/>
      <c r="AG447" s="31"/>
      <c r="AH447" s="32"/>
      <c r="AI447" s="33"/>
      <c r="AJ447" s="34"/>
      <c r="AK447" s="31"/>
      <c r="AL447" s="31"/>
      <c r="AM447" s="31"/>
    </row>
    <row r="448" customFormat="false" ht="14.25" hidden="false" customHeight="true" outlineLevel="0" collapsed="false">
      <c r="A448" s="31"/>
      <c r="B448" s="189"/>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31"/>
      <c r="AD448" s="31"/>
      <c r="AE448" s="31"/>
      <c r="AF448" s="31"/>
      <c r="AG448" s="31"/>
      <c r="AH448" s="32"/>
      <c r="AI448" s="33"/>
      <c r="AJ448" s="34"/>
      <c r="AK448" s="31"/>
      <c r="AL448" s="31"/>
      <c r="AM448" s="31"/>
    </row>
    <row r="449" customFormat="false" ht="14.25" hidden="false" customHeight="true" outlineLevel="0" collapsed="false">
      <c r="A449" s="31"/>
      <c r="B449" s="189"/>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31"/>
      <c r="AD449" s="31"/>
      <c r="AE449" s="31"/>
      <c r="AF449" s="31"/>
      <c r="AG449" s="31"/>
      <c r="AH449" s="32"/>
      <c r="AI449" s="33"/>
      <c r="AJ449" s="34"/>
      <c r="AK449" s="31"/>
      <c r="AL449" s="31"/>
      <c r="AM449" s="31"/>
    </row>
    <row r="450" customFormat="false" ht="14.25" hidden="false" customHeight="true" outlineLevel="0" collapsed="false">
      <c r="A450" s="31"/>
      <c r="B450" s="189"/>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31"/>
      <c r="AD450" s="31"/>
      <c r="AE450" s="31"/>
      <c r="AF450" s="31"/>
      <c r="AG450" s="31"/>
      <c r="AH450" s="32"/>
      <c r="AI450" s="33"/>
      <c r="AJ450" s="34"/>
      <c r="AK450" s="31"/>
      <c r="AL450" s="31"/>
      <c r="AM450" s="31"/>
    </row>
    <row r="451" customFormat="false" ht="14.25" hidden="false" customHeight="true" outlineLevel="0" collapsed="false">
      <c r="A451" s="31"/>
      <c r="B451" s="189"/>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31"/>
      <c r="AD451" s="31"/>
      <c r="AE451" s="31"/>
      <c r="AF451" s="31"/>
      <c r="AG451" s="31"/>
      <c r="AH451" s="32"/>
      <c r="AI451" s="33"/>
      <c r="AJ451" s="34"/>
      <c r="AK451" s="31"/>
      <c r="AL451" s="31"/>
      <c r="AM451" s="31"/>
    </row>
    <row r="452" customFormat="false" ht="14.25" hidden="false" customHeight="true" outlineLevel="0" collapsed="false">
      <c r="A452" s="31"/>
      <c r="B452" s="189"/>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31"/>
      <c r="AD452" s="31"/>
      <c r="AE452" s="31"/>
      <c r="AF452" s="31"/>
      <c r="AG452" s="31"/>
      <c r="AH452" s="32"/>
      <c r="AI452" s="33"/>
      <c r="AJ452" s="34"/>
      <c r="AK452" s="31"/>
      <c r="AL452" s="31"/>
      <c r="AM452" s="31"/>
    </row>
    <row r="453" customFormat="false" ht="14.25" hidden="false" customHeight="true" outlineLevel="0" collapsed="false">
      <c r="A453" s="31"/>
      <c r="B453" s="189"/>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31"/>
      <c r="AD453" s="31"/>
      <c r="AE453" s="31"/>
      <c r="AF453" s="31"/>
      <c r="AG453" s="31"/>
      <c r="AH453" s="32"/>
      <c r="AI453" s="33"/>
      <c r="AJ453" s="34"/>
      <c r="AK453" s="31"/>
      <c r="AL453" s="31"/>
      <c r="AM453" s="31"/>
    </row>
    <row r="454" customFormat="false" ht="14.25" hidden="false" customHeight="true" outlineLevel="0" collapsed="false">
      <c r="A454" s="31"/>
      <c r="B454" s="189"/>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31"/>
      <c r="AD454" s="31"/>
      <c r="AE454" s="31"/>
      <c r="AF454" s="31"/>
      <c r="AG454" s="31"/>
      <c r="AH454" s="32"/>
      <c r="AI454" s="33"/>
      <c r="AJ454" s="34"/>
      <c r="AK454" s="31"/>
      <c r="AL454" s="31"/>
      <c r="AM454" s="31"/>
    </row>
    <row r="455" customFormat="false" ht="14.25" hidden="false" customHeight="true" outlineLevel="0" collapsed="false">
      <c r="A455" s="31"/>
      <c r="B455" s="189"/>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31"/>
      <c r="AD455" s="31"/>
      <c r="AE455" s="31"/>
      <c r="AF455" s="31"/>
      <c r="AG455" s="31"/>
      <c r="AH455" s="32"/>
      <c r="AI455" s="33"/>
      <c r="AJ455" s="34"/>
      <c r="AK455" s="31"/>
      <c r="AL455" s="31"/>
      <c r="AM455" s="31"/>
    </row>
    <row r="456" customFormat="false" ht="14.25" hidden="false" customHeight="true" outlineLevel="0" collapsed="false">
      <c r="A456" s="31"/>
      <c r="B456" s="189"/>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31"/>
      <c r="AD456" s="31"/>
      <c r="AE456" s="31"/>
      <c r="AF456" s="31"/>
      <c r="AG456" s="31"/>
      <c r="AH456" s="32"/>
      <c r="AI456" s="33"/>
      <c r="AJ456" s="34"/>
      <c r="AK456" s="31"/>
      <c r="AL456" s="31"/>
      <c r="AM456" s="31"/>
    </row>
    <row r="457" customFormat="false" ht="14.25" hidden="false" customHeight="true" outlineLevel="0" collapsed="false">
      <c r="A457" s="31"/>
      <c r="B457" s="189"/>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31"/>
      <c r="AD457" s="31"/>
      <c r="AE457" s="31"/>
      <c r="AF457" s="31"/>
      <c r="AG457" s="31"/>
      <c r="AH457" s="32"/>
      <c r="AI457" s="33"/>
      <c r="AJ457" s="34"/>
      <c r="AK457" s="31"/>
      <c r="AL457" s="31"/>
      <c r="AM457" s="31"/>
    </row>
    <row r="458" customFormat="false" ht="14.25" hidden="false" customHeight="true" outlineLevel="0" collapsed="false">
      <c r="A458" s="31"/>
      <c r="B458" s="189"/>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31"/>
      <c r="AD458" s="31"/>
      <c r="AE458" s="31"/>
      <c r="AF458" s="31"/>
      <c r="AG458" s="31"/>
      <c r="AH458" s="32"/>
      <c r="AI458" s="33"/>
      <c r="AJ458" s="34"/>
      <c r="AK458" s="31"/>
      <c r="AL458" s="31"/>
      <c r="AM458" s="31"/>
    </row>
    <row r="459" customFormat="false" ht="14.25" hidden="false" customHeight="true" outlineLevel="0" collapsed="false">
      <c r="A459" s="31"/>
      <c r="B459" s="189"/>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31"/>
      <c r="AD459" s="31"/>
      <c r="AE459" s="31"/>
      <c r="AF459" s="31"/>
      <c r="AG459" s="31"/>
      <c r="AH459" s="32"/>
      <c r="AI459" s="33"/>
      <c r="AJ459" s="34"/>
      <c r="AK459" s="31"/>
      <c r="AL459" s="31"/>
      <c r="AM459" s="31"/>
    </row>
    <row r="460" customFormat="false" ht="14.25" hidden="false" customHeight="true" outlineLevel="0" collapsed="false">
      <c r="A460" s="31"/>
      <c r="B460" s="189"/>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31"/>
      <c r="AD460" s="31"/>
      <c r="AE460" s="31"/>
      <c r="AF460" s="31"/>
      <c r="AG460" s="31"/>
      <c r="AH460" s="32"/>
      <c r="AI460" s="33"/>
      <c r="AJ460" s="34"/>
      <c r="AK460" s="31"/>
      <c r="AL460" s="31"/>
      <c r="AM460" s="31"/>
    </row>
    <row r="461" customFormat="false" ht="14.25" hidden="false" customHeight="true" outlineLevel="0" collapsed="false">
      <c r="A461" s="31"/>
      <c r="B461" s="189"/>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31"/>
      <c r="AD461" s="31"/>
      <c r="AE461" s="31"/>
      <c r="AF461" s="31"/>
      <c r="AG461" s="31"/>
      <c r="AH461" s="32"/>
      <c r="AI461" s="33"/>
      <c r="AJ461" s="34"/>
      <c r="AK461" s="31"/>
      <c r="AL461" s="31"/>
      <c r="AM461" s="31"/>
    </row>
    <row r="462" customFormat="false" ht="14.25" hidden="false" customHeight="true" outlineLevel="0" collapsed="false">
      <c r="A462" s="31"/>
      <c r="B462" s="189"/>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31"/>
      <c r="AD462" s="31"/>
      <c r="AE462" s="31"/>
      <c r="AF462" s="31"/>
      <c r="AG462" s="31"/>
      <c r="AH462" s="32"/>
      <c r="AI462" s="33"/>
      <c r="AJ462" s="34"/>
      <c r="AK462" s="31"/>
      <c r="AL462" s="31"/>
      <c r="AM462" s="31"/>
    </row>
    <row r="463" customFormat="false" ht="14.25" hidden="false" customHeight="true" outlineLevel="0" collapsed="false">
      <c r="A463" s="31"/>
      <c r="B463" s="189"/>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31"/>
      <c r="AD463" s="31"/>
      <c r="AE463" s="31"/>
      <c r="AF463" s="31"/>
      <c r="AG463" s="31"/>
      <c r="AH463" s="32"/>
      <c r="AI463" s="33"/>
      <c r="AJ463" s="34"/>
      <c r="AK463" s="31"/>
      <c r="AL463" s="31"/>
      <c r="AM463" s="31"/>
    </row>
    <row r="464" customFormat="false" ht="14.25" hidden="false" customHeight="true" outlineLevel="0" collapsed="false">
      <c r="A464" s="31"/>
      <c r="B464" s="189"/>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31"/>
      <c r="AD464" s="31"/>
      <c r="AE464" s="31"/>
      <c r="AF464" s="31"/>
      <c r="AG464" s="31"/>
      <c r="AH464" s="32"/>
      <c r="AI464" s="33"/>
      <c r="AJ464" s="34"/>
      <c r="AK464" s="31"/>
      <c r="AL464" s="31"/>
      <c r="AM464" s="31"/>
    </row>
    <row r="465" customFormat="false" ht="14.25" hidden="false" customHeight="true" outlineLevel="0" collapsed="false">
      <c r="A465" s="31"/>
      <c r="B465" s="189"/>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31"/>
      <c r="AD465" s="31"/>
      <c r="AE465" s="31"/>
      <c r="AF465" s="31"/>
      <c r="AG465" s="31"/>
      <c r="AH465" s="32"/>
      <c r="AI465" s="33"/>
      <c r="AJ465" s="34"/>
      <c r="AK465" s="31"/>
      <c r="AL465" s="31"/>
      <c r="AM465" s="31"/>
    </row>
    <row r="466" customFormat="false" ht="14.25" hidden="false" customHeight="true" outlineLevel="0" collapsed="false">
      <c r="A466" s="31"/>
      <c r="B466" s="189"/>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31"/>
      <c r="AD466" s="31"/>
      <c r="AE466" s="31"/>
      <c r="AF466" s="31"/>
      <c r="AG466" s="31"/>
      <c r="AH466" s="32"/>
      <c r="AI466" s="33"/>
      <c r="AJ466" s="34"/>
      <c r="AK466" s="31"/>
      <c r="AL466" s="31"/>
      <c r="AM466" s="31"/>
    </row>
    <row r="467" customFormat="false" ht="14.25" hidden="false" customHeight="true" outlineLevel="0" collapsed="false">
      <c r="A467" s="31"/>
      <c r="B467" s="189"/>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31"/>
      <c r="AD467" s="31"/>
      <c r="AE467" s="31"/>
      <c r="AF467" s="31"/>
      <c r="AG467" s="31"/>
      <c r="AH467" s="32"/>
      <c r="AI467" s="33"/>
      <c r="AJ467" s="34"/>
      <c r="AK467" s="31"/>
      <c r="AL467" s="31"/>
      <c r="AM467" s="31"/>
    </row>
    <row r="468" customFormat="false" ht="14.25" hidden="false" customHeight="true" outlineLevel="0" collapsed="false">
      <c r="A468" s="31"/>
      <c r="B468" s="189"/>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31"/>
      <c r="AD468" s="31"/>
      <c r="AE468" s="31"/>
      <c r="AF468" s="31"/>
      <c r="AG468" s="31"/>
      <c r="AH468" s="32"/>
      <c r="AI468" s="33"/>
      <c r="AJ468" s="34"/>
      <c r="AK468" s="31"/>
      <c r="AL468" s="31"/>
      <c r="AM468" s="31"/>
    </row>
    <row r="469" customFormat="false" ht="14.25" hidden="false" customHeight="true" outlineLevel="0" collapsed="false">
      <c r="A469" s="31"/>
      <c r="B469" s="189"/>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31"/>
      <c r="AD469" s="31"/>
      <c r="AE469" s="31"/>
      <c r="AF469" s="31"/>
      <c r="AG469" s="31"/>
      <c r="AH469" s="32"/>
      <c r="AI469" s="33"/>
      <c r="AJ469" s="34"/>
      <c r="AK469" s="31"/>
      <c r="AL469" s="31"/>
      <c r="AM469" s="31"/>
    </row>
    <row r="470" customFormat="false" ht="14.25" hidden="false" customHeight="true" outlineLevel="0" collapsed="false">
      <c r="A470" s="31"/>
      <c r="B470" s="189"/>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31"/>
      <c r="AD470" s="31"/>
      <c r="AE470" s="31"/>
      <c r="AF470" s="31"/>
      <c r="AG470" s="31"/>
      <c r="AH470" s="32"/>
      <c r="AI470" s="33"/>
      <c r="AJ470" s="34"/>
      <c r="AK470" s="31"/>
      <c r="AL470" s="31"/>
      <c r="AM470" s="31"/>
    </row>
    <row r="471" customFormat="false" ht="14.25" hidden="false" customHeight="true" outlineLevel="0" collapsed="false">
      <c r="A471" s="31"/>
      <c r="B471" s="189"/>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31"/>
      <c r="AD471" s="31"/>
      <c r="AE471" s="31"/>
      <c r="AF471" s="31"/>
      <c r="AG471" s="31"/>
      <c r="AH471" s="32"/>
      <c r="AI471" s="33"/>
      <c r="AJ471" s="34"/>
      <c r="AK471" s="31"/>
      <c r="AL471" s="31"/>
      <c r="AM471" s="31"/>
    </row>
    <row r="472" customFormat="false" ht="14.25" hidden="false" customHeight="true" outlineLevel="0" collapsed="false">
      <c r="A472" s="31"/>
      <c r="B472" s="189"/>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31"/>
      <c r="AD472" s="31"/>
      <c r="AE472" s="31"/>
      <c r="AF472" s="31"/>
      <c r="AG472" s="31"/>
      <c r="AH472" s="32"/>
      <c r="AI472" s="33"/>
      <c r="AJ472" s="34"/>
      <c r="AK472" s="31"/>
      <c r="AL472" s="31"/>
      <c r="AM472" s="31"/>
    </row>
    <row r="473" customFormat="false" ht="14.25" hidden="false" customHeight="true" outlineLevel="0" collapsed="false">
      <c r="A473" s="31"/>
      <c r="B473" s="189"/>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31"/>
      <c r="AD473" s="31"/>
      <c r="AE473" s="31"/>
      <c r="AF473" s="31"/>
      <c r="AG473" s="31"/>
      <c r="AH473" s="32"/>
      <c r="AI473" s="33"/>
      <c r="AJ473" s="34"/>
      <c r="AK473" s="31"/>
      <c r="AL473" s="31"/>
      <c r="AM473" s="31"/>
    </row>
    <row r="474" customFormat="false" ht="14.25" hidden="false" customHeight="true" outlineLevel="0" collapsed="false">
      <c r="A474" s="31"/>
      <c r="B474" s="189"/>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31"/>
      <c r="AD474" s="31"/>
      <c r="AE474" s="31"/>
      <c r="AF474" s="31"/>
      <c r="AG474" s="31"/>
      <c r="AH474" s="32"/>
      <c r="AI474" s="33"/>
      <c r="AJ474" s="34"/>
      <c r="AK474" s="31"/>
      <c r="AL474" s="31"/>
      <c r="AM474" s="31"/>
    </row>
    <row r="475" customFormat="false" ht="14.25" hidden="false" customHeight="true" outlineLevel="0" collapsed="false">
      <c r="A475" s="31"/>
      <c r="B475" s="189"/>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31"/>
      <c r="AD475" s="31"/>
      <c r="AE475" s="31"/>
      <c r="AF475" s="31"/>
      <c r="AG475" s="31"/>
      <c r="AH475" s="32"/>
      <c r="AI475" s="33"/>
      <c r="AJ475" s="34"/>
      <c r="AK475" s="31"/>
      <c r="AL475" s="31"/>
      <c r="AM475" s="31"/>
    </row>
    <row r="476" customFormat="false" ht="14.25" hidden="false" customHeight="true" outlineLevel="0" collapsed="false">
      <c r="A476" s="31"/>
      <c r="B476" s="189"/>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31"/>
      <c r="AD476" s="31"/>
      <c r="AE476" s="31"/>
      <c r="AF476" s="31"/>
      <c r="AG476" s="31"/>
      <c r="AH476" s="32"/>
      <c r="AI476" s="33"/>
      <c r="AJ476" s="34"/>
      <c r="AK476" s="31"/>
      <c r="AL476" s="31"/>
      <c r="AM476" s="31"/>
    </row>
    <row r="477" customFormat="false" ht="14.25" hidden="false" customHeight="true" outlineLevel="0" collapsed="false">
      <c r="A477" s="31"/>
      <c r="B477" s="189"/>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31"/>
      <c r="AD477" s="31"/>
      <c r="AE477" s="31"/>
      <c r="AF477" s="31"/>
      <c r="AG477" s="31"/>
      <c r="AH477" s="32"/>
      <c r="AI477" s="33"/>
      <c r="AJ477" s="34"/>
      <c r="AK477" s="31"/>
      <c r="AL477" s="31"/>
      <c r="AM477" s="31"/>
    </row>
    <row r="478" customFormat="false" ht="14.25" hidden="false" customHeight="true" outlineLevel="0" collapsed="false">
      <c r="A478" s="31"/>
      <c r="B478" s="189"/>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31"/>
      <c r="AD478" s="31"/>
      <c r="AE478" s="31"/>
      <c r="AF478" s="31"/>
      <c r="AG478" s="31"/>
      <c r="AH478" s="32"/>
      <c r="AI478" s="33"/>
      <c r="AJ478" s="34"/>
      <c r="AK478" s="31"/>
      <c r="AL478" s="31"/>
      <c r="AM478" s="31"/>
    </row>
    <row r="479" customFormat="false" ht="14.25" hidden="false" customHeight="true" outlineLevel="0" collapsed="false">
      <c r="A479" s="31"/>
      <c r="B479" s="189"/>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31"/>
      <c r="AD479" s="31"/>
      <c r="AE479" s="31"/>
      <c r="AF479" s="31"/>
      <c r="AG479" s="31"/>
      <c r="AH479" s="32"/>
      <c r="AI479" s="33"/>
      <c r="AJ479" s="34"/>
      <c r="AK479" s="31"/>
      <c r="AL479" s="31"/>
      <c r="AM479" s="31"/>
    </row>
    <row r="480" customFormat="false" ht="14.25" hidden="false" customHeight="true" outlineLevel="0" collapsed="false">
      <c r="A480" s="31"/>
      <c r="B480" s="189"/>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31"/>
      <c r="AD480" s="31"/>
      <c r="AE480" s="31"/>
      <c r="AF480" s="31"/>
      <c r="AG480" s="31"/>
      <c r="AH480" s="32"/>
      <c r="AI480" s="33"/>
      <c r="AJ480" s="34"/>
      <c r="AK480" s="31"/>
      <c r="AL480" s="31"/>
      <c r="AM480" s="31"/>
    </row>
    <row r="481" customFormat="false" ht="14.25" hidden="false" customHeight="true" outlineLevel="0" collapsed="false">
      <c r="A481" s="31"/>
      <c r="B481" s="189"/>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31"/>
      <c r="AD481" s="31"/>
      <c r="AE481" s="31"/>
      <c r="AF481" s="31"/>
      <c r="AG481" s="31"/>
      <c r="AH481" s="32"/>
      <c r="AI481" s="33"/>
      <c r="AJ481" s="34"/>
      <c r="AK481" s="31"/>
      <c r="AL481" s="31"/>
      <c r="AM481" s="31"/>
    </row>
    <row r="482" customFormat="false" ht="14.25" hidden="false" customHeight="true" outlineLevel="0" collapsed="false">
      <c r="A482" s="31"/>
      <c r="B482" s="189"/>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31"/>
      <c r="AD482" s="31"/>
      <c r="AE482" s="31"/>
      <c r="AF482" s="31"/>
      <c r="AG482" s="31"/>
      <c r="AH482" s="32"/>
      <c r="AI482" s="33"/>
      <c r="AJ482" s="34"/>
      <c r="AK482" s="31"/>
      <c r="AL482" s="31"/>
      <c r="AM482" s="31"/>
    </row>
    <row r="483" customFormat="false" ht="14.25" hidden="false" customHeight="true" outlineLevel="0" collapsed="false">
      <c r="A483" s="31"/>
      <c r="B483" s="189"/>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31"/>
      <c r="AD483" s="31"/>
      <c r="AE483" s="31"/>
      <c r="AF483" s="31"/>
      <c r="AG483" s="31"/>
      <c r="AH483" s="32"/>
      <c r="AI483" s="33"/>
      <c r="AJ483" s="34"/>
      <c r="AK483" s="31"/>
      <c r="AL483" s="31"/>
      <c r="AM483" s="31"/>
    </row>
    <row r="484" customFormat="false" ht="14.25" hidden="false" customHeight="true" outlineLevel="0" collapsed="false">
      <c r="A484" s="31"/>
      <c r="B484" s="189"/>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31"/>
      <c r="AD484" s="31"/>
      <c r="AE484" s="31"/>
      <c r="AF484" s="31"/>
      <c r="AG484" s="31"/>
      <c r="AH484" s="32"/>
      <c r="AI484" s="33"/>
      <c r="AJ484" s="34"/>
      <c r="AK484" s="31"/>
      <c r="AL484" s="31"/>
      <c r="AM484" s="31"/>
    </row>
    <row r="485" customFormat="false" ht="14.25" hidden="false" customHeight="true" outlineLevel="0" collapsed="false">
      <c r="A485" s="31"/>
      <c r="B485" s="189"/>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31"/>
      <c r="AD485" s="31"/>
      <c r="AE485" s="31"/>
      <c r="AF485" s="31"/>
      <c r="AG485" s="31"/>
      <c r="AH485" s="32"/>
      <c r="AI485" s="33"/>
      <c r="AJ485" s="34"/>
      <c r="AK485" s="31"/>
      <c r="AL485" s="31"/>
      <c r="AM485" s="31"/>
    </row>
    <row r="486" customFormat="false" ht="14.25" hidden="false" customHeight="true" outlineLevel="0" collapsed="false">
      <c r="A486" s="31"/>
      <c r="B486" s="189"/>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31"/>
      <c r="AD486" s="31"/>
      <c r="AE486" s="31"/>
      <c r="AF486" s="31"/>
      <c r="AG486" s="31"/>
      <c r="AH486" s="32"/>
      <c r="AI486" s="33"/>
      <c r="AJ486" s="34"/>
      <c r="AK486" s="31"/>
      <c r="AL486" s="31"/>
      <c r="AM486" s="31"/>
    </row>
    <row r="487" customFormat="false" ht="14.25" hidden="false" customHeight="true" outlineLevel="0" collapsed="false">
      <c r="A487" s="31"/>
      <c r="B487" s="189"/>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31"/>
      <c r="AD487" s="31"/>
      <c r="AE487" s="31"/>
      <c r="AF487" s="31"/>
      <c r="AG487" s="31"/>
      <c r="AH487" s="32"/>
      <c r="AI487" s="33"/>
      <c r="AJ487" s="34"/>
      <c r="AK487" s="31"/>
      <c r="AL487" s="31"/>
      <c r="AM487" s="31"/>
    </row>
    <row r="488" customFormat="false" ht="14.25" hidden="false" customHeight="true" outlineLevel="0" collapsed="false">
      <c r="A488" s="31"/>
      <c r="B488" s="189"/>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31"/>
      <c r="AD488" s="31"/>
      <c r="AE488" s="31"/>
      <c r="AF488" s="31"/>
      <c r="AG488" s="31"/>
      <c r="AH488" s="32"/>
      <c r="AI488" s="33"/>
      <c r="AJ488" s="34"/>
      <c r="AK488" s="31"/>
      <c r="AL488" s="31"/>
      <c r="AM488" s="31"/>
    </row>
    <row r="489" customFormat="false" ht="14.25" hidden="false" customHeight="true" outlineLevel="0" collapsed="false">
      <c r="A489" s="31"/>
      <c r="B489" s="189"/>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31"/>
      <c r="AD489" s="31"/>
      <c r="AE489" s="31"/>
      <c r="AF489" s="31"/>
      <c r="AG489" s="31"/>
      <c r="AH489" s="32"/>
      <c r="AI489" s="33"/>
      <c r="AJ489" s="34"/>
      <c r="AK489" s="31"/>
      <c r="AL489" s="31"/>
      <c r="AM489" s="31"/>
    </row>
    <row r="490" customFormat="false" ht="14.25" hidden="false" customHeight="true" outlineLevel="0" collapsed="false">
      <c r="A490" s="31"/>
      <c r="B490" s="189"/>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31"/>
      <c r="AD490" s="31"/>
      <c r="AE490" s="31"/>
      <c r="AF490" s="31"/>
      <c r="AG490" s="31"/>
      <c r="AH490" s="32"/>
      <c r="AI490" s="33"/>
      <c r="AJ490" s="34"/>
      <c r="AK490" s="31"/>
      <c r="AL490" s="31"/>
      <c r="AM490" s="31"/>
    </row>
    <row r="491" customFormat="false" ht="14.25" hidden="false" customHeight="true" outlineLevel="0" collapsed="false">
      <c r="A491" s="31"/>
      <c r="B491" s="189"/>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31"/>
      <c r="AD491" s="31"/>
      <c r="AE491" s="31"/>
      <c r="AF491" s="31"/>
      <c r="AG491" s="31"/>
      <c r="AH491" s="32"/>
      <c r="AI491" s="33"/>
      <c r="AJ491" s="34"/>
      <c r="AK491" s="31"/>
      <c r="AL491" s="31"/>
      <c r="AM491" s="31"/>
    </row>
    <row r="492" customFormat="false" ht="14.25" hidden="false" customHeight="true" outlineLevel="0" collapsed="false">
      <c r="A492" s="31"/>
      <c r="B492" s="189"/>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31"/>
      <c r="AD492" s="31"/>
      <c r="AE492" s="31"/>
      <c r="AF492" s="31"/>
      <c r="AG492" s="31"/>
      <c r="AH492" s="32"/>
      <c r="AI492" s="33"/>
      <c r="AJ492" s="34"/>
      <c r="AK492" s="31"/>
      <c r="AL492" s="31"/>
      <c r="AM492" s="31"/>
    </row>
    <row r="493" customFormat="false" ht="14.25" hidden="false" customHeight="true" outlineLevel="0" collapsed="false">
      <c r="A493" s="31"/>
      <c r="B493" s="189"/>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31"/>
      <c r="AD493" s="31"/>
      <c r="AE493" s="31"/>
      <c r="AF493" s="31"/>
      <c r="AG493" s="31"/>
      <c r="AH493" s="32"/>
      <c r="AI493" s="33"/>
      <c r="AJ493" s="34"/>
      <c r="AK493" s="31"/>
      <c r="AL493" s="31"/>
      <c r="AM493" s="31"/>
    </row>
    <row r="494" customFormat="false" ht="14.25" hidden="false" customHeight="true" outlineLevel="0" collapsed="false">
      <c r="A494" s="31"/>
      <c r="B494" s="189"/>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31"/>
      <c r="AD494" s="31"/>
      <c r="AE494" s="31"/>
      <c r="AF494" s="31"/>
      <c r="AG494" s="31"/>
      <c r="AH494" s="32"/>
      <c r="AI494" s="33"/>
      <c r="AJ494" s="34"/>
      <c r="AK494" s="31"/>
      <c r="AL494" s="31"/>
      <c r="AM494" s="31"/>
    </row>
    <row r="495" customFormat="false" ht="14.25" hidden="false" customHeight="true" outlineLevel="0" collapsed="false">
      <c r="A495" s="31"/>
      <c r="B495" s="189"/>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31"/>
      <c r="AD495" s="31"/>
      <c r="AE495" s="31"/>
      <c r="AF495" s="31"/>
      <c r="AG495" s="31"/>
      <c r="AH495" s="32"/>
      <c r="AI495" s="33"/>
      <c r="AJ495" s="34"/>
      <c r="AK495" s="31"/>
      <c r="AL495" s="31"/>
      <c r="AM495" s="31"/>
    </row>
    <row r="496" customFormat="false" ht="14.25" hidden="false" customHeight="true" outlineLevel="0" collapsed="false">
      <c r="A496" s="31"/>
      <c r="B496" s="189"/>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31"/>
      <c r="AD496" s="31"/>
      <c r="AE496" s="31"/>
      <c r="AF496" s="31"/>
      <c r="AG496" s="31"/>
      <c r="AH496" s="32"/>
      <c r="AI496" s="33"/>
      <c r="AJ496" s="34"/>
      <c r="AK496" s="31"/>
      <c r="AL496" s="31"/>
      <c r="AM496" s="31"/>
    </row>
    <row r="497" customFormat="false" ht="14.25" hidden="false" customHeight="true" outlineLevel="0" collapsed="false">
      <c r="A497" s="31"/>
      <c r="B497" s="189"/>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31"/>
      <c r="AD497" s="31"/>
      <c r="AE497" s="31"/>
      <c r="AF497" s="31"/>
      <c r="AG497" s="31"/>
      <c r="AH497" s="32"/>
      <c r="AI497" s="33"/>
      <c r="AJ497" s="34"/>
      <c r="AK497" s="31"/>
      <c r="AL497" s="31"/>
      <c r="AM497" s="31"/>
    </row>
    <row r="498" customFormat="false" ht="14.25" hidden="false" customHeight="true" outlineLevel="0" collapsed="false">
      <c r="A498" s="31"/>
      <c r="B498" s="189"/>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31"/>
      <c r="AD498" s="31"/>
      <c r="AE498" s="31"/>
      <c r="AF498" s="31"/>
      <c r="AG498" s="31"/>
      <c r="AH498" s="32"/>
      <c r="AI498" s="33"/>
      <c r="AJ498" s="34"/>
      <c r="AK498" s="31"/>
      <c r="AL498" s="31"/>
      <c r="AM498" s="31"/>
    </row>
    <row r="499" customFormat="false" ht="14.25" hidden="false" customHeight="true" outlineLevel="0" collapsed="false">
      <c r="A499" s="31"/>
      <c r="B499" s="189"/>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31"/>
      <c r="AD499" s="31"/>
      <c r="AE499" s="31"/>
      <c r="AF499" s="31"/>
      <c r="AG499" s="31"/>
      <c r="AH499" s="32"/>
      <c r="AI499" s="33"/>
      <c r="AJ499" s="34"/>
      <c r="AK499" s="31"/>
      <c r="AL499" s="31"/>
      <c r="AM499" s="31"/>
    </row>
    <row r="500" customFormat="false" ht="14.25" hidden="false" customHeight="true" outlineLevel="0" collapsed="false">
      <c r="A500" s="31"/>
      <c r="B500" s="189"/>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31"/>
      <c r="AD500" s="31"/>
      <c r="AE500" s="31"/>
      <c r="AF500" s="31"/>
      <c r="AG500" s="31"/>
      <c r="AH500" s="32"/>
      <c r="AI500" s="33"/>
      <c r="AJ500" s="34"/>
      <c r="AK500" s="31"/>
      <c r="AL500" s="31"/>
      <c r="AM500" s="31"/>
    </row>
    <row r="501" customFormat="false" ht="14.25" hidden="false" customHeight="true" outlineLevel="0" collapsed="false">
      <c r="A501" s="31"/>
      <c r="B501" s="189"/>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31"/>
      <c r="AD501" s="31"/>
      <c r="AE501" s="31"/>
      <c r="AF501" s="31"/>
      <c r="AG501" s="31"/>
      <c r="AH501" s="32"/>
      <c r="AI501" s="33"/>
      <c r="AJ501" s="34"/>
      <c r="AK501" s="31"/>
      <c r="AL501" s="31"/>
      <c r="AM501" s="31"/>
    </row>
    <row r="502" customFormat="false" ht="14.25" hidden="false" customHeight="true" outlineLevel="0" collapsed="false">
      <c r="A502" s="31"/>
      <c r="B502" s="189"/>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31"/>
      <c r="AD502" s="31"/>
      <c r="AE502" s="31"/>
      <c r="AF502" s="31"/>
      <c r="AG502" s="31"/>
      <c r="AH502" s="32"/>
      <c r="AI502" s="33"/>
      <c r="AJ502" s="34"/>
      <c r="AK502" s="31"/>
      <c r="AL502" s="31"/>
      <c r="AM502" s="31"/>
    </row>
    <row r="503" customFormat="false" ht="14.25" hidden="false" customHeight="true" outlineLevel="0" collapsed="false">
      <c r="A503" s="31"/>
      <c r="B503" s="189"/>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31"/>
      <c r="AD503" s="31"/>
      <c r="AE503" s="31"/>
      <c r="AF503" s="31"/>
      <c r="AG503" s="31"/>
      <c r="AH503" s="32"/>
      <c r="AI503" s="33"/>
      <c r="AJ503" s="34"/>
      <c r="AK503" s="31"/>
      <c r="AL503" s="31"/>
      <c r="AM503" s="31"/>
    </row>
    <row r="504" customFormat="false" ht="14.25" hidden="false" customHeight="true" outlineLevel="0" collapsed="false">
      <c r="A504" s="31"/>
      <c r="B504" s="189"/>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31"/>
      <c r="AD504" s="31"/>
      <c r="AE504" s="31"/>
      <c r="AF504" s="31"/>
      <c r="AG504" s="31"/>
      <c r="AH504" s="32"/>
      <c r="AI504" s="33"/>
      <c r="AJ504" s="34"/>
      <c r="AK504" s="31"/>
      <c r="AL504" s="31"/>
      <c r="AM504" s="31"/>
    </row>
    <row r="505" customFormat="false" ht="14.25" hidden="false" customHeight="true" outlineLevel="0" collapsed="false">
      <c r="A505" s="31"/>
      <c r="B505" s="189"/>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31"/>
      <c r="AD505" s="31"/>
      <c r="AE505" s="31"/>
      <c r="AF505" s="31"/>
      <c r="AG505" s="31"/>
      <c r="AH505" s="32"/>
      <c r="AI505" s="33"/>
      <c r="AJ505" s="34"/>
      <c r="AK505" s="31"/>
      <c r="AL505" s="31"/>
      <c r="AM505" s="31"/>
    </row>
    <row r="506" customFormat="false" ht="14.25" hidden="false" customHeight="true" outlineLevel="0" collapsed="false">
      <c r="A506" s="31"/>
      <c r="B506" s="189"/>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31"/>
      <c r="AD506" s="31"/>
      <c r="AE506" s="31"/>
      <c r="AF506" s="31"/>
      <c r="AG506" s="31"/>
      <c r="AH506" s="32"/>
      <c r="AI506" s="33"/>
      <c r="AJ506" s="34"/>
      <c r="AK506" s="31"/>
      <c r="AL506" s="31"/>
      <c r="AM506" s="31"/>
    </row>
    <row r="507" customFormat="false" ht="14.25" hidden="false" customHeight="true" outlineLevel="0" collapsed="false">
      <c r="A507" s="31"/>
      <c r="B507" s="189"/>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31"/>
      <c r="AD507" s="31"/>
      <c r="AE507" s="31"/>
      <c r="AF507" s="31"/>
      <c r="AG507" s="31"/>
      <c r="AH507" s="32"/>
      <c r="AI507" s="33"/>
      <c r="AJ507" s="34"/>
      <c r="AK507" s="31"/>
      <c r="AL507" s="31"/>
      <c r="AM507" s="31"/>
    </row>
    <row r="508" customFormat="false" ht="14.25" hidden="false" customHeight="true" outlineLevel="0" collapsed="false">
      <c r="A508" s="31"/>
      <c r="B508" s="189"/>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31"/>
      <c r="AD508" s="31"/>
      <c r="AE508" s="31"/>
      <c r="AF508" s="31"/>
      <c r="AG508" s="31"/>
      <c r="AH508" s="32"/>
      <c r="AI508" s="33"/>
      <c r="AJ508" s="34"/>
      <c r="AK508" s="31"/>
      <c r="AL508" s="31"/>
      <c r="AM508" s="31"/>
    </row>
    <row r="509" customFormat="false" ht="14.25" hidden="false" customHeight="true" outlineLevel="0" collapsed="false">
      <c r="A509" s="31"/>
      <c r="B509" s="189"/>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31"/>
      <c r="AD509" s="31"/>
      <c r="AE509" s="31"/>
      <c r="AF509" s="31"/>
      <c r="AG509" s="31"/>
      <c r="AH509" s="32"/>
      <c r="AI509" s="33"/>
      <c r="AJ509" s="34"/>
      <c r="AK509" s="31"/>
      <c r="AL509" s="31"/>
      <c r="AM509" s="31"/>
    </row>
    <row r="510" customFormat="false" ht="14.25" hidden="false" customHeight="true" outlineLevel="0" collapsed="false">
      <c r="A510" s="31"/>
      <c r="B510" s="189"/>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31"/>
      <c r="AD510" s="31"/>
      <c r="AE510" s="31"/>
      <c r="AF510" s="31"/>
      <c r="AG510" s="31"/>
      <c r="AH510" s="32"/>
      <c r="AI510" s="33"/>
      <c r="AJ510" s="34"/>
      <c r="AK510" s="31"/>
      <c r="AL510" s="31"/>
      <c r="AM510" s="31"/>
    </row>
    <row r="511" customFormat="false" ht="14.25" hidden="false" customHeight="true" outlineLevel="0" collapsed="false">
      <c r="A511" s="31"/>
      <c r="B511" s="189"/>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31"/>
      <c r="AD511" s="31"/>
      <c r="AE511" s="31"/>
      <c r="AF511" s="31"/>
      <c r="AG511" s="31"/>
      <c r="AH511" s="32"/>
      <c r="AI511" s="33"/>
      <c r="AJ511" s="34"/>
      <c r="AK511" s="31"/>
      <c r="AL511" s="31"/>
      <c r="AM511" s="31"/>
    </row>
    <row r="512" customFormat="false" ht="14.25" hidden="false" customHeight="true" outlineLevel="0" collapsed="false">
      <c r="A512" s="31"/>
      <c r="B512" s="189"/>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31"/>
      <c r="AD512" s="31"/>
      <c r="AE512" s="31"/>
      <c r="AF512" s="31"/>
      <c r="AG512" s="31"/>
      <c r="AH512" s="32"/>
      <c r="AI512" s="33"/>
      <c r="AJ512" s="34"/>
      <c r="AK512" s="31"/>
      <c r="AL512" s="31"/>
      <c r="AM512" s="31"/>
    </row>
    <row r="513" customFormat="false" ht="14.25" hidden="false" customHeight="true" outlineLevel="0" collapsed="false">
      <c r="A513" s="31"/>
      <c r="B513" s="189"/>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31"/>
      <c r="AD513" s="31"/>
      <c r="AE513" s="31"/>
      <c r="AF513" s="31"/>
      <c r="AG513" s="31"/>
      <c r="AH513" s="32"/>
      <c r="AI513" s="33"/>
      <c r="AJ513" s="34"/>
      <c r="AK513" s="31"/>
      <c r="AL513" s="31"/>
      <c r="AM513" s="31"/>
    </row>
    <row r="514" customFormat="false" ht="14.25" hidden="false" customHeight="true" outlineLevel="0" collapsed="false">
      <c r="A514" s="31"/>
      <c r="B514" s="189"/>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31"/>
      <c r="AD514" s="31"/>
      <c r="AE514" s="31"/>
      <c r="AF514" s="31"/>
      <c r="AG514" s="31"/>
      <c r="AH514" s="32"/>
      <c r="AI514" s="33"/>
      <c r="AJ514" s="34"/>
      <c r="AK514" s="31"/>
      <c r="AL514" s="31"/>
      <c r="AM514" s="31"/>
    </row>
    <row r="515" customFormat="false" ht="14.25" hidden="false" customHeight="true" outlineLevel="0" collapsed="false">
      <c r="A515" s="31"/>
      <c r="B515" s="189"/>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31"/>
      <c r="AD515" s="31"/>
      <c r="AE515" s="31"/>
      <c r="AF515" s="31"/>
      <c r="AG515" s="31"/>
      <c r="AH515" s="32"/>
      <c r="AI515" s="33"/>
      <c r="AJ515" s="34"/>
      <c r="AK515" s="31"/>
      <c r="AL515" s="31"/>
      <c r="AM515" s="31"/>
    </row>
    <row r="516" customFormat="false" ht="14.25" hidden="false" customHeight="true" outlineLevel="0" collapsed="false">
      <c r="A516" s="31"/>
      <c r="B516" s="189"/>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31"/>
      <c r="AD516" s="31"/>
      <c r="AE516" s="31"/>
      <c r="AF516" s="31"/>
      <c r="AG516" s="31"/>
      <c r="AH516" s="32"/>
      <c r="AI516" s="33"/>
      <c r="AJ516" s="34"/>
      <c r="AK516" s="31"/>
      <c r="AL516" s="31"/>
      <c r="AM516" s="31"/>
    </row>
    <row r="517" customFormat="false" ht="14.25" hidden="false" customHeight="true" outlineLevel="0" collapsed="false">
      <c r="A517" s="31"/>
      <c r="B517" s="189"/>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31"/>
      <c r="AD517" s="31"/>
      <c r="AE517" s="31"/>
      <c r="AF517" s="31"/>
      <c r="AG517" s="31"/>
      <c r="AH517" s="32"/>
      <c r="AI517" s="33"/>
      <c r="AJ517" s="34"/>
      <c r="AK517" s="31"/>
      <c r="AL517" s="31"/>
      <c r="AM517" s="31"/>
    </row>
    <row r="518" customFormat="false" ht="14.25" hidden="false" customHeight="true" outlineLevel="0" collapsed="false">
      <c r="A518" s="31"/>
      <c r="B518" s="189"/>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31"/>
      <c r="AD518" s="31"/>
      <c r="AE518" s="31"/>
      <c r="AF518" s="31"/>
      <c r="AG518" s="31"/>
      <c r="AH518" s="32"/>
      <c r="AI518" s="33"/>
      <c r="AJ518" s="34"/>
      <c r="AK518" s="31"/>
      <c r="AL518" s="31"/>
      <c r="AM518" s="31"/>
    </row>
    <row r="519" customFormat="false" ht="14.25" hidden="false" customHeight="true" outlineLevel="0" collapsed="false">
      <c r="A519" s="31"/>
      <c r="B519" s="189"/>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31"/>
      <c r="AD519" s="31"/>
      <c r="AE519" s="31"/>
      <c r="AF519" s="31"/>
      <c r="AG519" s="31"/>
      <c r="AH519" s="32"/>
      <c r="AI519" s="33"/>
      <c r="AJ519" s="34"/>
      <c r="AK519" s="31"/>
      <c r="AL519" s="31"/>
      <c r="AM519" s="31"/>
    </row>
    <row r="520" customFormat="false" ht="14.25" hidden="false" customHeight="true" outlineLevel="0" collapsed="false">
      <c r="A520" s="31"/>
      <c r="B520" s="189"/>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31"/>
      <c r="AD520" s="31"/>
      <c r="AE520" s="31"/>
      <c r="AF520" s="31"/>
      <c r="AG520" s="31"/>
      <c r="AH520" s="32"/>
      <c r="AI520" s="33"/>
      <c r="AJ520" s="34"/>
      <c r="AK520" s="31"/>
      <c r="AL520" s="31"/>
      <c r="AM520" s="31"/>
    </row>
    <row r="521" customFormat="false" ht="14.25" hidden="false" customHeight="true" outlineLevel="0" collapsed="false">
      <c r="A521" s="31"/>
      <c r="B521" s="189"/>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31"/>
      <c r="AD521" s="31"/>
      <c r="AE521" s="31"/>
      <c r="AF521" s="31"/>
      <c r="AG521" s="31"/>
      <c r="AH521" s="32"/>
      <c r="AI521" s="33"/>
      <c r="AJ521" s="34"/>
      <c r="AK521" s="31"/>
      <c r="AL521" s="31"/>
      <c r="AM521" s="31"/>
    </row>
    <row r="522" customFormat="false" ht="14.25" hidden="false" customHeight="true" outlineLevel="0" collapsed="false">
      <c r="A522" s="31"/>
      <c r="B522" s="189"/>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31"/>
      <c r="AD522" s="31"/>
      <c r="AE522" s="31"/>
      <c r="AF522" s="31"/>
      <c r="AG522" s="31"/>
      <c r="AH522" s="32"/>
      <c r="AI522" s="33"/>
      <c r="AJ522" s="34"/>
      <c r="AK522" s="31"/>
      <c r="AL522" s="31"/>
      <c r="AM522" s="31"/>
    </row>
    <row r="523" customFormat="false" ht="14.25" hidden="false" customHeight="true" outlineLevel="0" collapsed="false">
      <c r="A523" s="31"/>
      <c r="B523" s="189"/>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31"/>
      <c r="AD523" s="31"/>
      <c r="AE523" s="31"/>
      <c r="AF523" s="31"/>
      <c r="AG523" s="31"/>
      <c r="AH523" s="32"/>
      <c r="AI523" s="33"/>
      <c r="AJ523" s="34"/>
      <c r="AK523" s="31"/>
      <c r="AL523" s="31"/>
      <c r="AM523" s="31"/>
    </row>
    <row r="524" customFormat="false" ht="14.25" hidden="false" customHeight="true" outlineLevel="0" collapsed="false">
      <c r="A524" s="31"/>
      <c r="B524" s="189"/>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31"/>
      <c r="AD524" s="31"/>
      <c r="AE524" s="31"/>
      <c r="AF524" s="31"/>
      <c r="AG524" s="31"/>
      <c r="AH524" s="32"/>
      <c r="AI524" s="33"/>
      <c r="AJ524" s="34"/>
      <c r="AK524" s="31"/>
      <c r="AL524" s="31"/>
      <c r="AM524" s="31"/>
    </row>
    <row r="525" customFormat="false" ht="14.25" hidden="false" customHeight="true" outlineLevel="0" collapsed="false">
      <c r="A525" s="31"/>
      <c r="B525" s="189"/>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31"/>
      <c r="AD525" s="31"/>
      <c r="AE525" s="31"/>
      <c r="AF525" s="31"/>
      <c r="AG525" s="31"/>
      <c r="AH525" s="32"/>
      <c r="AI525" s="33"/>
      <c r="AJ525" s="34"/>
      <c r="AK525" s="31"/>
      <c r="AL525" s="31"/>
      <c r="AM525" s="31"/>
    </row>
    <row r="526" customFormat="false" ht="14.25" hidden="false" customHeight="true" outlineLevel="0" collapsed="false">
      <c r="A526" s="31"/>
      <c r="B526" s="189"/>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31"/>
      <c r="AD526" s="31"/>
      <c r="AE526" s="31"/>
      <c r="AF526" s="31"/>
      <c r="AG526" s="31"/>
      <c r="AH526" s="32"/>
      <c r="AI526" s="33"/>
      <c r="AJ526" s="34"/>
      <c r="AK526" s="31"/>
      <c r="AL526" s="31"/>
      <c r="AM526" s="31"/>
    </row>
    <row r="527" customFormat="false" ht="14.25" hidden="false" customHeight="true" outlineLevel="0" collapsed="false">
      <c r="A527" s="31"/>
      <c r="B527" s="189"/>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31"/>
      <c r="AD527" s="31"/>
      <c r="AE527" s="31"/>
      <c r="AF527" s="31"/>
      <c r="AG527" s="31"/>
      <c r="AH527" s="32"/>
      <c r="AI527" s="33"/>
      <c r="AJ527" s="34"/>
      <c r="AK527" s="31"/>
      <c r="AL527" s="31"/>
      <c r="AM527" s="31"/>
    </row>
    <row r="528" customFormat="false" ht="14.25" hidden="false" customHeight="true" outlineLevel="0" collapsed="false">
      <c r="A528" s="31"/>
      <c r="B528" s="189"/>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31"/>
      <c r="AD528" s="31"/>
      <c r="AE528" s="31"/>
      <c r="AF528" s="31"/>
      <c r="AG528" s="31"/>
      <c r="AH528" s="32"/>
      <c r="AI528" s="33"/>
      <c r="AJ528" s="34"/>
      <c r="AK528" s="31"/>
      <c r="AL528" s="31"/>
      <c r="AM528" s="31"/>
    </row>
    <row r="529" customFormat="false" ht="14.25" hidden="false" customHeight="true" outlineLevel="0" collapsed="false">
      <c r="A529" s="31"/>
      <c r="B529" s="189"/>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31"/>
      <c r="AD529" s="31"/>
      <c r="AE529" s="31"/>
      <c r="AF529" s="31"/>
      <c r="AG529" s="31"/>
      <c r="AH529" s="32"/>
      <c r="AI529" s="33"/>
      <c r="AJ529" s="34"/>
      <c r="AK529" s="31"/>
      <c r="AL529" s="31"/>
      <c r="AM529" s="31"/>
    </row>
    <row r="530" customFormat="false" ht="14.25" hidden="false" customHeight="true" outlineLevel="0" collapsed="false">
      <c r="A530" s="31"/>
      <c r="B530" s="189"/>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31"/>
      <c r="AD530" s="31"/>
      <c r="AE530" s="31"/>
      <c r="AF530" s="31"/>
      <c r="AG530" s="31"/>
      <c r="AH530" s="32"/>
      <c r="AI530" s="33"/>
      <c r="AJ530" s="34"/>
      <c r="AK530" s="31"/>
      <c r="AL530" s="31"/>
      <c r="AM530" s="31"/>
    </row>
    <row r="531" customFormat="false" ht="14.25" hidden="false" customHeight="true" outlineLevel="0" collapsed="false">
      <c r="A531" s="31"/>
      <c r="B531" s="189"/>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31"/>
      <c r="AD531" s="31"/>
      <c r="AE531" s="31"/>
      <c r="AF531" s="31"/>
      <c r="AG531" s="31"/>
      <c r="AH531" s="32"/>
      <c r="AI531" s="33"/>
      <c r="AJ531" s="34"/>
      <c r="AK531" s="31"/>
      <c r="AL531" s="31"/>
      <c r="AM531" s="31"/>
    </row>
    <row r="532" customFormat="false" ht="14.25" hidden="false" customHeight="true" outlineLevel="0" collapsed="false">
      <c r="A532" s="31"/>
      <c r="B532" s="189"/>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31"/>
      <c r="AD532" s="31"/>
      <c r="AE532" s="31"/>
      <c r="AF532" s="31"/>
      <c r="AG532" s="31"/>
      <c r="AH532" s="32"/>
      <c r="AI532" s="33"/>
      <c r="AJ532" s="34"/>
      <c r="AK532" s="31"/>
      <c r="AL532" s="31"/>
      <c r="AM532" s="31"/>
    </row>
    <row r="533" customFormat="false" ht="14.25" hidden="false" customHeight="true" outlineLevel="0" collapsed="false">
      <c r="A533" s="31"/>
      <c r="B533" s="189"/>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31"/>
      <c r="AD533" s="31"/>
      <c r="AE533" s="31"/>
      <c r="AF533" s="31"/>
      <c r="AG533" s="31"/>
      <c r="AH533" s="32"/>
      <c r="AI533" s="33"/>
      <c r="AJ533" s="34"/>
      <c r="AK533" s="31"/>
      <c r="AL533" s="31"/>
      <c r="AM533" s="31"/>
    </row>
    <row r="534" customFormat="false" ht="14.25" hidden="false" customHeight="true" outlineLevel="0" collapsed="false">
      <c r="A534" s="31"/>
      <c r="B534" s="189"/>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31"/>
      <c r="AD534" s="31"/>
      <c r="AE534" s="31"/>
      <c r="AF534" s="31"/>
      <c r="AG534" s="31"/>
      <c r="AH534" s="32"/>
      <c r="AI534" s="33"/>
      <c r="AJ534" s="34"/>
      <c r="AK534" s="31"/>
      <c r="AL534" s="31"/>
      <c r="AM534" s="31"/>
    </row>
    <row r="535" customFormat="false" ht="14.25" hidden="false" customHeight="true" outlineLevel="0" collapsed="false">
      <c r="A535" s="31"/>
      <c r="B535" s="189"/>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31"/>
      <c r="AD535" s="31"/>
      <c r="AE535" s="31"/>
      <c r="AF535" s="31"/>
      <c r="AG535" s="31"/>
      <c r="AH535" s="32"/>
      <c r="AI535" s="33"/>
      <c r="AJ535" s="34"/>
      <c r="AK535" s="31"/>
      <c r="AL535" s="31"/>
      <c r="AM535" s="31"/>
    </row>
    <row r="536" customFormat="false" ht="14.25" hidden="false" customHeight="true" outlineLevel="0" collapsed="false">
      <c r="A536" s="31"/>
      <c r="B536" s="189"/>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31"/>
      <c r="AD536" s="31"/>
      <c r="AE536" s="31"/>
      <c r="AF536" s="31"/>
      <c r="AG536" s="31"/>
      <c r="AH536" s="32"/>
      <c r="AI536" s="33"/>
      <c r="AJ536" s="34"/>
      <c r="AK536" s="31"/>
      <c r="AL536" s="31"/>
      <c r="AM536" s="31"/>
    </row>
    <row r="537" customFormat="false" ht="14.25" hidden="false" customHeight="true" outlineLevel="0" collapsed="false">
      <c r="A537" s="31"/>
      <c r="B537" s="189"/>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31"/>
      <c r="AD537" s="31"/>
      <c r="AE537" s="31"/>
      <c r="AF537" s="31"/>
      <c r="AG537" s="31"/>
      <c r="AH537" s="32"/>
      <c r="AI537" s="33"/>
      <c r="AJ537" s="34"/>
      <c r="AK537" s="31"/>
      <c r="AL537" s="31"/>
      <c r="AM537" s="31"/>
    </row>
    <row r="538" customFormat="false" ht="14.25" hidden="false" customHeight="true" outlineLevel="0" collapsed="false">
      <c r="A538" s="31"/>
      <c r="B538" s="189"/>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31"/>
      <c r="AD538" s="31"/>
      <c r="AE538" s="31"/>
      <c r="AF538" s="31"/>
      <c r="AG538" s="31"/>
      <c r="AH538" s="32"/>
      <c r="AI538" s="33"/>
      <c r="AJ538" s="34"/>
      <c r="AK538" s="31"/>
      <c r="AL538" s="31"/>
      <c r="AM538" s="31"/>
    </row>
    <row r="539" customFormat="false" ht="14.25" hidden="false" customHeight="true" outlineLevel="0" collapsed="false">
      <c r="A539" s="31"/>
      <c r="B539" s="189"/>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31"/>
      <c r="AD539" s="31"/>
      <c r="AE539" s="31"/>
      <c r="AF539" s="31"/>
      <c r="AG539" s="31"/>
      <c r="AH539" s="32"/>
      <c r="AI539" s="33"/>
      <c r="AJ539" s="34"/>
      <c r="AK539" s="31"/>
      <c r="AL539" s="31"/>
      <c r="AM539" s="31"/>
    </row>
    <row r="540" customFormat="false" ht="14.25" hidden="false" customHeight="true" outlineLevel="0" collapsed="false">
      <c r="A540" s="31"/>
      <c r="B540" s="189"/>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31"/>
      <c r="AD540" s="31"/>
      <c r="AE540" s="31"/>
      <c r="AF540" s="31"/>
      <c r="AG540" s="31"/>
      <c r="AH540" s="32"/>
      <c r="AI540" s="33"/>
      <c r="AJ540" s="34"/>
      <c r="AK540" s="31"/>
      <c r="AL540" s="31"/>
      <c r="AM540" s="31"/>
    </row>
    <row r="541" customFormat="false" ht="14.25" hidden="false" customHeight="true" outlineLevel="0" collapsed="false">
      <c r="A541" s="31"/>
      <c r="B541" s="189"/>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31"/>
      <c r="AD541" s="31"/>
      <c r="AE541" s="31"/>
      <c r="AF541" s="31"/>
      <c r="AG541" s="31"/>
      <c r="AH541" s="32"/>
      <c r="AI541" s="33"/>
      <c r="AJ541" s="34"/>
      <c r="AK541" s="31"/>
      <c r="AL541" s="31"/>
      <c r="AM541" s="31"/>
    </row>
    <row r="542" customFormat="false" ht="14.25" hidden="false" customHeight="true" outlineLevel="0" collapsed="false">
      <c r="A542" s="31"/>
      <c r="B542" s="189"/>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31"/>
      <c r="AD542" s="31"/>
      <c r="AE542" s="31"/>
      <c r="AF542" s="31"/>
      <c r="AG542" s="31"/>
      <c r="AH542" s="32"/>
      <c r="AI542" s="33"/>
      <c r="AJ542" s="34"/>
      <c r="AK542" s="31"/>
      <c r="AL542" s="31"/>
      <c r="AM542" s="31"/>
    </row>
    <row r="543" customFormat="false" ht="14.25" hidden="false" customHeight="true" outlineLevel="0" collapsed="false">
      <c r="A543" s="31"/>
      <c r="B543" s="189"/>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31"/>
      <c r="AD543" s="31"/>
      <c r="AE543" s="31"/>
      <c r="AF543" s="31"/>
      <c r="AG543" s="31"/>
      <c r="AH543" s="32"/>
      <c r="AI543" s="33"/>
      <c r="AJ543" s="34"/>
      <c r="AK543" s="31"/>
      <c r="AL543" s="31"/>
      <c r="AM543" s="31"/>
    </row>
    <row r="544" customFormat="false" ht="14.25" hidden="false" customHeight="true" outlineLevel="0" collapsed="false">
      <c r="A544" s="31"/>
      <c r="B544" s="189"/>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31"/>
      <c r="AD544" s="31"/>
      <c r="AE544" s="31"/>
      <c r="AF544" s="31"/>
      <c r="AG544" s="31"/>
      <c r="AH544" s="32"/>
      <c r="AI544" s="33"/>
      <c r="AJ544" s="34"/>
      <c r="AK544" s="31"/>
      <c r="AL544" s="31"/>
      <c r="AM544" s="31"/>
    </row>
    <row r="545" customFormat="false" ht="14.25" hidden="false" customHeight="true" outlineLevel="0" collapsed="false">
      <c r="A545" s="31"/>
      <c r="B545" s="189"/>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31"/>
      <c r="AD545" s="31"/>
      <c r="AE545" s="31"/>
      <c r="AF545" s="31"/>
      <c r="AG545" s="31"/>
      <c r="AH545" s="32"/>
      <c r="AI545" s="33"/>
      <c r="AJ545" s="34"/>
      <c r="AK545" s="31"/>
      <c r="AL545" s="31"/>
      <c r="AM545" s="31"/>
    </row>
    <row r="546" customFormat="false" ht="14.25" hidden="false" customHeight="true" outlineLevel="0" collapsed="false">
      <c r="A546" s="31"/>
      <c r="B546" s="189"/>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31"/>
      <c r="AD546" s="31"/>
      <c r="AE546" s="31"/>
      <c r="AF546" s="31"/>
      <c r="AG546" s="31"/>
      <c r="AH546" s="32"/>
      <c r="AI546" s="33"/>
      <c r="AJ546" s="34"/>
      <c r="AK546" s="31"/>
      <c r="AL546" s="31"/>
      <c r="AM546" s="31"/>
    </row>
    <row r="547" customFormat="false" ht="14.25" hidden="false" customHeight="true" outlineLevel="0" collapsed="false">
      <c r="A547" s="31"/>
      <c r="B547" s="189"/>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31"/>
      <c r="AD547" s="31"/>
      <c r="AE547" s="31"/>
      <c r="AF547" s="31"/>
      <c r="AG547" s="31"/>
      <c r="AH547" s="32"/>
      <c r="AI547" s="33"/>
      <c r="AJ547" s="34"/>
      <c r="AK547" s="31"/>
      <c r="AL547" s="31"/>
      <c r="AM547" s="31"/>
    </row>
    <row r="548" customFormat="false" ht="14.25" hidden="false" customHeight="true" outlineLevel="0" collapsed="false">
      <c r="A548" s="31"/>
      <c r="B548" s="189"/>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31"/>
      <c r="AD548" s="31"/>
      <c r="AE548" s="31"/>
      <c r="AF548" s="31"/>
      <c r="AG548" s="31"/>
      <c r="AH548" s="32"/>
      <c r="AI548" s="33"/>
      <c r="AJ548" s="34"/>
      <c r="AK548" s="31"/>
      <c r="AL548" s="31"/>
      <c r="AM548" s="31"/>
    </row>
    <row r="549" customFormat="false" ht="14.25" hidden="false" customHeight="true" outlineLevel="0" collapsed="false">
      <c r="A549" s="31"/>
      <c r="B549" s="189"/>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31"/>
      <c r="AD549" s="31"/>
      <c r="AE549" s="31"/>
      <c r="AF549" s="31"/>
      <c r="AG549" s="31"/>
      <c r="AH549" s="32"/>
      <c r="AI549" s="33"/>
      <c r="AJ549" s="34"/>
      <c r="AK549" s="31"/>
      <c r="AL549" s="31"/>
      <c r="AM549" s="31"/>
    </row>
    <row r="550" customFormat="false" ht="14.25" hidden="false" customHeight="true" outlineLevel="0" collapsed="false">
      <c r="A550" s="31"/>
      <c r="B550" s="189"/>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31"/>
      <c r="AD550" s="31"/>
      <c r="AE550" s="31"/>
      <c r="AF550" s="31"/>
      <c r="AG550" s="31"/>
      <c r="AH550" s="32"/>
      <c r="AI550" s="33"/>
      <c r="AJ550" s="34"/>
      <c r="AK550" s="31"/>
      <c r="AL550" s="31"/>
      <c r="AM550" s="31"/>
    </row>
    <row r="551" customFormat="false" ht="14.25" hidden="false" customHeight="true" outlineLevel="0" collapsed="false">
      <c r="A551" s="31"/>
      <c r="B551" s="189"/>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31"/>
      <c r="AD551" s="31"/>
      <c r="AE551" s="31"/>
      <c r="AF551" s="31"/>
      <c r="AG551" s="31"/>
      <c r="AH551" s="32"/>
      <c r="AI551" s="33"/>
      <c r="AJ551" s="34"/>
      <c r="AK551" s="31"/>
      <c r="AL551" s="31"/>
      <c r="AM551" s="31"/>
    </row>
    <row r="552" customFormat="false" ht="14.25" hidden="false" customHeight="true" outlineLevel="0" collapsed="false">
      <c r="A552" s="31"/>
      <c r="B552" s="189"/>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31"/>
      <c r="AD552" s="31"/>
      <c r="AE552" s="31"/>
      <c r="AF552" s="31"/>
      <c r="AG552" s="31"/>
      <c r="AH552" s="32"/>
      <c r="AI552" s="33"/>
      <c r="AJ552" s="34"/>
      <c r="AK552" s="31"/>
      <c r="AL552" s="31"/>
      <c r="AM552" s="31"/>
    </row>
    <row r="553" customFormat="false" ht="14.25" hidden="false" customHeight="true" outlineLevel="0" collapsed="false">
      <c r="A553" s="31"/>
      <c r="B553" s="189"/>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31"/>
      <c r="AD553" s="31"/>
      <c r="AE553" s="31"/>
      <c r="AF553" s="31"/>
      <c r="AG553" s="31"/>
      <c r="AH553" s="32"/>
      <c r="AI553" s="33"/>
      <c r="AJ553" s="34"/>
      <c r="AK553" s="31"/>
      <c r="AL553" s="31"/>
      <c r="AM553" s="31"/>
    </row>
    <row r="554" customFormat="false" ht="14.25" hidden="false" customHeight="true" outlineLevel="0" collapsed="false">
      <c r="A554" s="31"/>
      <c r="B554" s="189"/>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31"/>
      <c r="AD554" s="31"/>
      <c r="AE554" s="31"/>
      <c r="AF554" s="31"/>
      <c r="AG554" s="31"/>
      <c r="AH554" s="32"/>
      <c r="AI554" s="33"/>
      <c r="AJ554" s="34"/>
      <c r="AK554" s="31"/>
      <c r="AL554" s="31"/>
      <c r="AM554" s="31"/>
    </row>
    <row r="555" customFormat="false" ht="14.25" hidden="false" customHeight="true" outlineLevel="0" collapsed="false">
      <c r="A555" s="31"/>
      <c r="B555" s="189"/>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31"/>
      <c r="AD555" s="31"/>
      <c r="AE555" s="31"/>
      <c r="AF555" s="31"/>
      <c r="AG555" s="31"/>
      <c r="AH555" s="32"/>
      <c r="AI555" s="33"/>
      <c r="AJ555" s="34"/>
      <c r="AK555" s="31"/>
      <c r="AL555" s="31"/>
      <c r="AM555" s="31"/>
    </row>
    <row r="556" customFormat="false" ht="14.25" hidden="false" customHeight="true" outlineLevel="0" collapsed="false">
      <c r="A556" s="31"/>
      <c r="B556" s="189"/>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31"/>
      <c r="AD556" s="31"/>
      <c r="AE556" s="31"/>
      <c r="AF556" s="31"/>
      <c r="AG556" s="31"/>
      <c r="AH556" s="32"/>
      <c r="AI556" s="33"/>
      <c r="AJ556" s="34"/>
      <c r="AK556" s="31"/>
      <c r="AL556" s="31"/>
      <c r="AM556" s="31"/>
    </row>
    <row r="557" customFormat="false" ht="14.25" hidden="false" customHeight="true" outlineLevel="0" collapsed="false">
      <c r="A557" s="31"/>
      <c r="B557" s="189"/>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31"/>
      <c r="AD557" s="31"/>
      <c r="AE557" s="31"/>
      <c r="AF557" s="31"/>
      <c r="AG557" s="31"/>
      <c r="AH557" s="32"/>
      <c r="AI557" s="33"/>
      <c r="AJ557" s="34"/>
      <c r="AK557" s="31"/>
      <c r="AL557" s="31"/>
      <c r="AM557" s="31"/>
    </row>
    <row r="558" customFormat="false" ht="14.25" hidden="false" customHeight="true" outlineLevel="0" collapsed="false">
      <c r="A558" s="31"/>
      <c r="B558" s="189"/>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31"/>
      <c r="AD558" s="31"/>
      <c r="AE558" s="31"/>
      <c r="AF558" s="31"/>
      <c r="AG558" s="31"/>
      <c r="AH558" s="32"/>
      <c r="AI558" s="33"/>
      <c r="AJ558" s="34"/>
      <c r="AK558" s="31"/>
      <c r="AL558" s="31"/>
      <c r="AM558" s="31"/>
    </row>
    <row r="559" customFormat="false" ht="14.25" hidden="false" customHeight="true" outlineLevel="0" collapsed="false">
      <c r="A559" s="31"/>
      <c r="B559" s="189"/>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31"/>
      <c r="AD559" s="31"/>
      <c r="AE559" s="31"/>
      <c r="AF559" s="31"/>
      <c r="AG559" s="31"/>
      <c r="AH559" s="32"/>
      <c r="AI559" s="33"/>
      <c r="AJ559" s="34"/>
      <c r="AK559" s="31"/>
      <c r="AL559" s="31"/>
      <c r="AM559" s="31"/>
    </row>
    <row r="560" customFormat="false" ht="14.25" hidden="false" customHeight="true" outlineLevel="0" collapsed="false">
      <c r="A560" s="31"/>
      <c r="B560" s="189"/>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31"/>
      <c r="AD560" s="31"/>
      <c r="AE560" s="31"/>
      <c r="AF560" s="31"/>
      <c r="AG560" s="31"/>
      <c r="AH560" s="32"/>
      <c r="AI560" s="33"/>
      <c r="AJ560" s="34"/>
      <c r="AK560" s="31"/>
      <c r="AL560" s="31"/>
      <c r="AM560" s="31"/>
    </row>
    <row r="561" customFormat="false" ht="14.25" hidden="false" customHeight="true" outlineLevel="0" collapsed="false">
      <c r="A561" s="31"/>
      <c r="B561" s="189"/>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31"/>
      <c r="AD561" s="31"/>
      <c r="AE561" s="31"/>
      <c r="AF561" s="31"/>
      <c r="AG561" s="31"/>
      <c r="AH561" s="32"/>
      <c r="AI561" s="33"/>
      <c r="AJ561" s="34"/>
      <c r="AK561" s="31"/>
      <c r="AL561" s="31"/>
      <c r="AM561" s="31"/>
    </row>
    <row r="562" customFormat="false" ht="14.25" hidden="false" customHeight="true" outlineLevel="0" collapsed="false">
      <c r="A562" s="31"/>
      <c r="B562" s="189"/>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31"/>
      <c r="AD562" s="31"/>
      <c r="AE562" s="31"/>
      <c r="AF562" s="31"/>
      <c r="AG562" s="31"/>
      <c r="AH562" s="32"/>
      <c r="AI562" s="33"/>
      <c r="AJ562" s="34"/>
      <c r="AK562" s="31"/>
      <c r="AL562" s="31"/>
      <c r="AM562" s="31"/>
    </row>
    <row r="563" customFormat="false" ht="14.25" hidden="false" customHeight="true" outlineLevel="0" collapsed="false">
      <c r="A563" s="31"/>
      <c r="B563" s="189"/>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31"/>
      <c r="AD563" s="31"/>
      <c r="AE563" s="31"/>
      <c r="AF563" s="31"/>
      <c r="AG563" s="31"/>
      <c r="AH563" s="32"/>
      <c r="AI563" s="33"/>
      <c r="AJ563" s="34"/>
      <c r="AK563" s="31"/>
      <c r="AL563" s="31"/>
      <c r="AM563" s="31"/>
    </row>
    <row r="564" customFormat="false" ht="14.25" hidden="false" customHeight="true" outlineLevel="0" collapsed="false">
      <c r="A564" s="31"/>
      <c r="B564" s="189"/>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31"/>
      <c r="AD564" s="31"/>
      <c r="AE564" s="31"/>
      <c r="AF564" s="31"/>
      <c r="AG564" s="31"/>
      <c r="AH564" s="32"/>
      <c r="AI564" s="33"/>
      <c r="AJ564" s="34"/>
      <c r="AK564" s="31"/>
      <c r="AL564" s="31"/>
      <c r="AM564" s="31"/>
    </row>
    <row r="565" customFormat="false" ht="14.25" hidden="false" customHeight="true" outlineLevel="0" collapsed="false">
      <c r="A565" s="31"/>
      <c r="B565" s="189"/>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31"/>
      <c r="AD565" s="31"/>
      <c r="AE565" s="31"/>
      <c r="AF565" s="31"/>
      <c r="AG565" s="31"/>
      <c r="AH565" s="32"/>
      <c r="AI565" s="33"/>
      <c r="AJ565" s="34"/>
      <c r="AK565" s="31"/>
      <c r="AL565" s="31"/>
      <c r="AM565" s="31"/>
    </row>
    <row r="566" customFormat="false" ht="14.25" hidden="false" customHeight="true" outlineLevel="0" collapsed="false">
      <c r="A566" s="31"/>
      <c r="B566" s="189"/>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31"/>
      <c r="AD566" s="31"/>
      <c r="AE566" s="31"/>
      <c r="AF566" s="31"/>
      <c r="AG566" s="31"/>
      <c r="AH566" s="32"/>
      <c r="AI566" s="33"/>
      <c r="AJ566" s="34"/>
      <c r="AK566" s="31"/>
      <c r="AL566" s="31"/>
      <c r="AM566" s="31"/>
    </row>
    <row r="567" customFormat="false" ht="14.25" hidden="false" customHeight="true" outlineLevel="0" collapsed="false">
      <c r="A567" s="31"/>
      <c r="B567" s="189"/>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31"/>
      <c r="AD567" s="31"/>
      <c r="AE567" s="31"/>
      <c r="AF567" s="31"/>
      <c r="AG567" s="31"/>
      <c r="AH567" s="32"/>
      <c r="AI567" s="33"/>
      <c r="AJ567" s="34"/>
      <c r="AK567" s="31"/>
      <c r="AL567" s="31"/>
      <c r="AM567" s="31"/>
    </row>
    <row r="568" customFormat="false" ht="14.25" hidden="false" customHeight="true" outlineLevel="0" collapsed="false">
      <c r="A568" s="31"/>
      <c r="B568" s="189"/>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31"/>
      <c r="AD568" s="31"/>
      <c r="AE568" s="31"/>
      <c r="AF568" s="31"/>
      <c r="AG568" s="31"/>
      <c r="AH568" s="32"/>
      <c r="AI568" s="33"/>
      <c r="AJ568" s="34"/>
      <c r="AK568" s="31"/>
      <c r="AL568" s="31"/>
      <c r="AM568" s="31"/>
    </row>
    <row r="569" customFormat="false" ht="14.25" hidden="false" customHeight="true" outlineLevel="0" collapsed="false">
      <c r="A569" s="31"/>
      <c r="B569" s="189"/>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31"/>
      <c r="AD569" s="31"/>
      <c r="AE569" s="31"/>
      <c r="AF569" s="31"/>
      <c r="AG569" s="31"/>
      <c r="AH569" s="32"/>
      <c r="AI569" s="33"/>
      <c r="AJ569" s="34"/>
      <c r="AK569" s="31"/>
      <c r="AL569" s="31"/>
      <c r="AM569" s="31"/>
    </row>
    <row r="570" customFormat="false" ht="14.25" hidden="false" customHeight="true" outlineLevel="0" collapsed="false">
      <c r="A570" s="31"/>
      <c r="B570" s="189"/>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31"/>
      <c r="AD570" s="31"/>
      <c r="AE570" s="31"/>
      <c r="AF570" s="31"/>
      <c r="AG570" s="31"/>
      <c r="AH570" s="32"/>
      <c r="AI570" s="33"/>
      <c r="AJ570" s="34"/>
      <c r="AK570" s="31"/>
      <c r="AL570" s="31"/>
      <c r="AM570" s="31"/>
    </row>
    <row r="571" customFormat="false" ht="14.25" hidden="false" customHeight="true" outlineLevel="0" collapsed="false">
      <c r="A571" s="31"/>
      <c r="B571" s="189"/>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31"/>
      <c r="AD571" s="31"/>
      <c r="AE571" s="31"/>
      <c r="AF571" s="31"/>
      <c r="AG571" s="31"/>
      <c r="AH571" s="32"/>
      <c r="AI571" s="33"/>
      <c r="AJ571" s="34"/>
      <c r="AK571" s="31"/>
      <c r="AL571" s="31"/>
      <c r="AM571" s="31"/>
    </row>
    <row r="572" customFormat="false" ht="14.25" hidden="false" customHeight="true" outlineLevel="0" collapsed="false">
      <c r="A572" s="31"/>
      <c r="B572" s="189"/>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31"/>
      <c r="AD572" s="31"/>
      <c r="AE572" s="31"/>
      <c r="AF572" s="31"/>
      <c r="AG572" s="31"/>
      <c r="AH572" s="32"/>
      <c r="AI572" s="33"/>
      <c r="AJ572" s="34"/>
      <c r="AK572" s="31"/>
      <c r="AL572" s="31"/>
      <c r="AM572" s="31"/>
    </row>
    <row r="573" customFormat="false" ht="14.25" hidden="false" customHeight="true" outlineLevel="0" collapsed="false">
      <c r="A573" s="31"/>
      <c r="B573" s="189"/>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31"/>
      <c r="AD573" s="31"/>
      <c r="AE573" s="31"/>
      <c r="AF573" s="31"/>
      <c r="AG573" s="31"/>
      <c r="AH573" s="32"/>
      <c r="AI573" s="33"/>
      <c r="AJ573" s="34"/>
      <c r="AK573" s="31"/>
      <c r="AL573" s="31"/>
      <c r="AM573" s="31"/>
    </row>
    <row r="574" customFormat="false" ht="14.25" hidden="false" customHeight="true" outlineLevel="0" collapsed="false">
      <c r="A574" s="31"/>
      <c r="B574" s="189"/>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31"/>
      <c r="AD574" s="31"/>
      <c r="AE574" s="31"/>
      <c r="AF574" s="31"/>
      <c r="AG574" s="31"/>
      <c r="AH574" s="32"/>
      <c r="AI574" s="33"/>
      <c r="AJ574" s="34"/>
      <c r="AK574" s="31"/>
      <c r="AL574" s="31"/>
      <c r="AM574" s="31"/>
    </row>
    <row r="575" customFormat="false" ht="14.25" hidden="false" customHeight="true" outlineLevel="0" collapsed="false">
      <c r="A575" s="31"/>
      <c r="B575" s="189"/>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31"/>
      <c r="AD575" s="31"/>
      <c r="AE575" s="31"/>
      <c r="AF575" s="31"/>
      <c r="AG575" s="31"/>
      <c r="AH575" s="32"/>
      <c r="AI575" s="33"/>
      <c r="AJ575" s="34"/>
      <c r="AK575" s="31"/>
      <c r="AL575" s="31"/>
      <c r="AM575" s="31"/>
    </row>
    <row r="576" customFormat="false" ht="14.25" hidden="false" customHeight="true" outlineLevel="0" collapsed="false">
      <c r="A576" s="31"/>
      <c r="B576" s="189"/>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31"/>
      <c r="AD576" s="31"/>
      <c r="AE576" s="31"/>
      <c r="AF576" s="31"/>
      <c r="AG576" s="31"/>
      <c r="AH576" s="32"/>
      <c r="AI576" s="33"/>
      <c r="AJ576" s="34"/>
      <c r="AK576" s="31"/>
      <c r="AL576" s="31"/>
      <c r="AM576" s="31"/>
    </row>
    <row r="577" customFormat="false" ht="14.25" hidden="false" customHeight="true" outlineLevel="0" collapsed="false">
      <c r="A577" s="31"/>
      <c r="B577" s="189"/>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31"/>
      <c r="AD577" s="31"/>
      <c r="AE577" s="31"/>
      <c r="AF577" s="31"/>
      <c r="AG577" s="31"/>
      <c r="AH577" s="32"/>
      <c r="AI577" s="33"/>
      <c r="AJ577" s="34"/>
      <c r="AK577" s="31"/>
      <c r="AL577" s="31"/>
      <c r="AM577" s="31"/>
    </row>
    <row r="578" customFormat="false" ht="14.25" hidden="false" customHeight="true" outlineLevel="0" collapsed="false">
      <c r="A578" s="31"/>
      <c r="B578" s="189"/>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31"/>
      <c r="AD578" s="31"/>
      <c r="AE578" s="31"/>
      <c r="AF578" s="31"/>
      <c r="AG578" s="31"/>
      <c r="AH578" s="32"/>
      <c r="AI578" s="33"/>
      <c r="AJ578" s="34"/>
      <c r="AK578" s="31"/>
      <c r="AL578" s="31"/>
      <c r="AM578" s="31"/>
    </row>
    <row r="579" customFormat="false" ht="14.25" hidden="false" customHeight="true" outlineLevel="0" collapsed="false">
      <c r="A579" s="31"/>
      <c r="B579" s="189"/>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31"/>
      <c r="AD579" s="31"/>
      <c r="AE579" s="31"/>
      <c r="AF579" s="31"/>
      <c r="AG579" s="31"/>
      <c r="AH579" s="32"/>
      <c r="AI579" s="33"/>
      <c r="AJ579" s="34"/>
      <c r="AK579" s="31"/>
      <c r="AL579" s="31"/>
      <c r="AM579" s="31"/>
    </row>
    <row r="580" customFormat="false" ht="14.25" hidden="false" customHeight="true" outlineLevel="0" collapsed="false">
      <c r="A580" s="31"/>
      <c r="B580" s="189"/>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31"/>
      <c r="AD580" s="31"/>
      <c r="AE580" s="31"/>
      <c r="AF580" s="31"/>
      <c r="AG580" s="31"/>
      <c r="AH580" s="32"/>
      <c r="AI580" s="33"/>
      <c r="AJ580" s="34"/>
      <c r="AK580" s="31"/>
      <c r="AL580" s="31"/>
      <c r="AM580" s="31"/>
    </row>
    <row r="581" customFormat="false" ht="14.25" hidden="false" customHeight="true" outlineLevel="0" collapsed="false">
      <c r="A581" s="31"/>
      <c r="B581" s="189"/>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31"/>
      <c r="AD581" s="31"/>
      <c r="AE581" s="31"/>
      <c r="AF581" s="31"/>
      <c r="AG581" s="31"/>
      <c r="AH581" s="32"/>
      <c r="AI581" s="33"/>
      <c r="AJ581" s="34"/>
      <c r="AK581" s="31"/>
      <c r="AL581" s="31"/>
      <c r="AM581" s="31"/>
    </row>
    <row r="582" customFormat="false" ht="14.25" hidden="false" customHeight="true" outlineLevel="0" collapsed="false">
      <c r="A582" s="31"/>
      <c r="B582" s="189"/>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31"/>
      <c r="AD582" s="31"/>
      <c r="AE582" s="31"/>
      <c r="AF582" s="31"/>
      <c r="AG582" s="31"/>
      <c r="AH582" s="32"/>
      <c r="AI582" s="33"/>
      <c r="AJ582" s="34"/>
      <c r="AK582" s="31"/>
      <c r="AL582" s="31"/>
      <c r="AM582" s="31"/>
    </row>
    <row r="583" customFormat="false" ht="14.25" hidden="false" customHeight="true" outlineLevel="0" collapsed="false">
      <c r="A583" s="31"/>
      <c r="B583" s="189"/>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31"/>
      <c r="AD583" s="31"/>
      <c r="AE583" s="31"/>
      <c r="AF583" s="31"/>
      <c r="AG583" s="31"/>
      <c r="AH583" s="32"/>
      <c r="AI583" s="33"/>
      <c r="AJ583" s="34"/>
      <c r="AK583" s="31"/>
      <c r="AL583" s="31"/>
      <c r="AM583" s="31"/>
    </row>
    <row r="584" customFormat="false" ht="14.25" hidden="false" customHeight="true" outlineLevel="0" collapsed="false">
      <c r="A584" s="31"/>
      <c r="B584" s="189"/>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31"/>
      <c r="AD584" s="31"/>
      <c r="AE584" s="31"/>
      <c r="AF584" s="31"/>
      <c r="AG584" s="31"/>
      <c r="AH584" s="32"/>
      <c r="AI584" s="33"/>
      <c r="AJ584" s="34"/>
      <c r="AK584" s="31"/>
      <c r="AL584" s="31"/>
      <c r="AM584" s="31"/>
    </row>
    <row r="585" customFormat="false" ht="14.25" hidden="false" customHeight="true" outlineLevel="0" collapsed="false">
      <c r="A585" s="31"/>
      <c r="B585" s="189"/>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31"/>
      <c r="AD585" s="31"/>
      <c r="AE585" s="31"/>
      <c r="AF585" s="31"/>
      <c r="AG585" s="31"/>
      <c r="AH585" s="32"/>
      <c r="AI585" s="33"/>
      <c r="AJ585" s="34"/>
      <c r="AK585" s="31"/>
      <c r="AL585" s="31"/>
      <c r="AM585" s="31"/>
    </row>
    <row r="586" customFormat="false" ht="14.25" hidden="false" customHeight="true" outlineLevel="0" collapsed="false">
      <c r="A586" s="31"/>
      <c r="B586" s="189"/>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31"/>
      <c r="AD586" s="31"/>
      <c r="AE586" s="31"/>
      <c r="AF586" s="31"/>
      <c r="AG586" s="31"/>
      <c r="AH586" s="32"/>
      <c r="AI586" s="33"/>
      <c r="AJ586" s="34"/>
      <c r="AK586" s="31"/>
      <c r="AL586" s="31"/>
      <c r="AM586" s="31"/>
    </row>
    <row r="587" customFormat="false" ht="14.25" hidden="false" customHeight="true" outlineLevel="0" collapsed="false">
      <c r="A587" s="31"/>
      <c r="B587" s="189"/>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31"/>
      <c r="AD587" s="31"/>
      <c r="AE587" s="31"/>
      <c r="AF587" s="31"/>
      <c r="AG587" s="31"/>
      <c r="AH587" s="32"/>
      <c r="AI587" s="33"/>
      <c r="AJ587" s="34"/>
      <c r="AK587" s="31"/>
      <c r="AL587" s="31"/>
      <c r="AM587" s="31"/>
    </row>
    <row r="588" customFormat="false" ht="14.25" hidden="false" customHeight="true" outlineLevel="0" collapsed="false">
      <c r="A588" s="31"/>
      <c r="B588" s="189"/>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31"/>
      <c r="AD588" s="31"/>
      <c r="AE588" s="31"/>
      <c r="AF588" s="31"/>
      <c r="AG588" s="31"/>
      <c r="AH588" s="32"/>
      <c r="AI588" s="33"/>
      <c r="AJ588" s="34"/>
      <c r="AK588" s="31"/>
      <c r="AL588" s="31"/>
      <c r="AM588" s="31"/>
    </row>
    <row r="589" customFormat="false" ht="14.25" hidden="false" customHeight="true" outlineLevel="0" collapsed="false">
      <c r="A589" s="31"/>
      <c r="B589" s="189"/>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31"/>
      <c r="AD589" s="31"/>
      <c r="AE589" s="31"/>
      <c r="AF589" s="31"/>
      <c r="AG589" s="31"/>
      <c r="AH589" s="32"/>
      <c r="AI589" s="33"/>
      <c r="AJ589" s="34"/>
      <c r="AK589" s="31"/>
      <c r="AL589" s="31"/>
      <c r="AM589" s="31"/>
    </row>
    <row r="590" customFormat="false" ht="14.25" hidden="false" customHeight="true" outlineLevel="0" collapsed="false">
      <c r="A590" s="31"/>
      <c r="B590" s="189"/>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31"/>
      <c r="AD590" s="31"/>
      <c r="AE590" s="31"/>
      <c r="AF590" s="31"/>
      <c r="AG590" s="31"/>
      <c r="AH590" s="32"/>
      <c r="AI590" s="33"/>
      <c r="AJ590" s="34"/>
      <c r="AK590" s="31"/>
      <c r="AL590" s="31"/>
      <c r="AM590" s="31"/>
    </row>
    <row r="591" customFormat="false" ht="14.25" hidden="false" customHeight="true" outlineLevel="0" collapsed="false">
      <c r="A591" s="31"/>
      <c r="B591" s="189"/>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31"/>
      <c r="AD591" s="31"/>
      <c r="AE591" s="31"/>
      <c r="AF591" s="31"/>
      <c r="AG591" s="31"/>
      <c r="AH591" s="32"/>
      <c r="AI591" s="33"/>
      <c r="AJ591" s="34"/>
      <c r="AK591" s="31"/>
      <c r="AL591" s="31"/>
      <c r="AM591" s="31"/>
    </row>
    <row r="592" customFormat="false" ht="14.25" hidden="false" customHeight="true" outlineLevel="0" collapsed="false">
      <c r="A592" s="31"/>
      <c r="B592" s="189"/>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31"/>
      <c r="AD592" s="31"/>
      <c r="AE592" s="31"/>
      <c r="AF592" s="31"/>
      <c r="AG592" s="31"/>
      <c r="AH592" s="32"/>
      <c r="AI592" s="33"/>
      <c r="AJ592" s="34"/>
      <c r="AK592" s="31"/>
      <c r="AL592" s="31"/>
      <c r="AM592" s="31"/>
    </row>
    <row r="593" customFormat="false" ht="14.25" hidden="false" customHeight="true" outlineLevel="0" collapsed="false">
      <c r="A593" s="31"/>
      <c r="B593" s="189"/>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31"/>
      <c r="AD593" s="31"/>
      <c r="AE593" s="31"/>
      <c r="AF593" s="31"/>
      <c r="AG593" s="31"/>
      <c r="AH593" s="32"/>
      <c r="AI593" s="33"/>
      <c r="AJ593" s="34"/>
      <c r="AK593" s="31"/>
      <c r="AL593" s="31"/>
      <c r="AM593" s="31"/>
    </row>
    <row r="594" customFormat="false" ht="14.25" hidden="false" customHeight="true" outlineLevel="0" collapsed="false">
      <c r="A594" s="31"/>
      <c r="B594" s="189"/>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31"/>
      <c r="AD594" s="31"/>
      <c r="AE594" s="31"/>
      <c r="AF594" s="31"/>
      <c r="AG594" s="31"/>
      <c r="AH594" s="32"/>
      <c r="AI594" s="33"/>
      <c r="AJ594" s="34"/>
      <c r="AK594" s="31"/>
      <c r="AL594" s="31"/>
      <c r="AM594" s="31"/>
    </row>
    <row r="595" customFormat="false" ht="14.25" hidden="false" customHeight="true" outlineLevel="0" collapsed="false">
      <c r="A595" s="31"/>
      <c r="B595" s="189"/>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31"/>
      <c r="AD595" s="31"/>
      <c r="AE595" s="31"/>
      <c r="AF595" s="31"/>
      <c r="AG595" s="31"/>
      <c r="AH595" s="32"/>
      <c r="AI595" s="33"/>
      <c r="AJ595" s="34"/>
      <c r="AK595" s="31"/>
      <c r="AL595" s="31"/>
      <c r="AM595" s="31"/>
    </row>
    <row r="596" customFormat="false" ht="14.25" hidden="false" customHeight="true" outlineLevel="0" collapsed="false">
      <c r="A596" s="31"/>
      <c r="B596" s="189"/>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31"/>
      <c r="AD596" s="31"/>
      <c r="AE596" s="31"/>
      <c r="AF596" s="31"/>
      <c r="AG596" s="31"/>
      <c r="AH596" s="32"/>
      <c r="AI596" s="33"/>
      <c r="AJ596" s="34"/>
      <c r="AK596" s="31"/>
      <c r="AL596" s="31"/>
      <c r="AM596" s="31"/>
    </row>
    <row r="597" customFormat="false" ht="14.25" hidden="false" customHeight="true" outlineLevel="0" collapsed="false">
      <c r="A597" s="31"/>
      <c r="B597" s="189"/>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31"/>
      <c r="AD597" s="31"/>
      <c r="AE597" s="31"/>
      <c r="AF597" s="31"/>
      <c r="AG597" s="31"/>
      <c r="AH597" s="32"/>
      <c r="AI597" s="33"/>
      <c r="AJ597" s="34"/>
      <c r="AK597" s="31"/>
      <c r="AL597" s="31"/>
      <c r="AM597" s="31"/>
    </row>
    <row r="598" customFormat="false" ht="14.25" hidden="false" customHeight="true" outlineLevel="0" collapsed="false">
      <c r="A598" s="31"/>
      <c r="B598" s="189"/>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31"/>
      <c r="AD598" s="31"/>
      <c r="AE598" s="31"/>
      <c r="AF598" s="31"/>
      <c r="AG598" s="31"/>
      <c r="AH598" s="32"/>
      <c r="AI598" s="33"/>
      <c r="AJ598" s="34"/>
      <c r="AK598" s="31"/>
      <c r="AL598" s="31"/>
      <c r="AM598" s="31"/>
    </row>
    <row r="599" customFormat="false" ht="14.25" hidden="false" customHeight="true" outlineLevel="0" collapsed="false">
      <c r="A599" s="31"/>
      <c r="B599" s="189"/>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31"/>
      <c r="AD599" s="31"/>
      <c r="AE599" s="31"/>
      <c r="AF599" s="31"/>
      <c r="AG599" s="31"/>
      <c r="AH599" s="32"/>
      <c r="AI599" s="33"/>
      <c r="AJ599" s="34"/>
      <c r="AK599" s="31"/>
      <c r="AL599" s="31"/>
      <c r="AM599" s="31"/>
    </row>
    <row r="600" customFormat="false" ht="14.25" hidden="false" customHeight="true" outlineLevel="0" collapsed="false">
      <c r="A600" s="31"/>
      <c r="B600" s="189"/>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31"/>
      <c r="AD600" s="31"/>
      <c r="AE600" s="31"/>
      <c r="AF600" s="31"/>
      <c r="AG600" s="31"/>
      <c r="AH600" s="32"/>
      <c r="AI600" s="33"/>
      <c r="AJ600" s="34"/>
      <c r="AK600" s="31"/>
      <c r="AL600" s="31"/>
      <c r="AM600" s="31"/>
    </row>
    <row r="601" customFormat="false" ht="14.25" hidden="false" customHeight="true" outlineLevel="0" collapsed="false">
      <c r="A601" s="31"/>
      <c r="B601" s="189"/>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31"/>
      <c r="AD601" s="31"/>
      <c r="AE601" s="31"/>
      <c r="AF601" s="31"/>
      <c r="AG601" s="31"/>
      <c r="AH601" s="32"/>
      <c r="AI601" s="33"/>
      <c r="AJ601" s="34"/>
      <c r="AK601" s="31"/>
      <c r="AL601" s="31"/>
      <c r="AM601" s="31"/>
    </row>
    <row r="602" customFormat="false" ht="14.25" hidden="false" customHeight="true" outlineLevel="0" collapsed="false">
      <c r="A602" s="31"/>
      <c r="B602" s="189"/>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31"/>
      <c r="AD602" s="31"/>
      <c r="AE602" s="31"/>
      <c r="AF602" s="31"/>
      <c r="AG602" s="31"/>
      <c r="AH602" s="32"/>
      <c r="AI602" s="33"/>
      <c r="AJ602" s="34"/>
      <c r="AK602" s="31"/>
      <c r="AL602" s="31"/>
      <c r="AM602" s="31"/>
    </row>
    <row r="603" customFormat="false" ht="14.25" hidden="false" customHeight="true" outlineLevel="0" collapsed="false">
      <c r="A603" s="31"/>
      <c r="B603" s="189"/>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31"/>
      <c r="AD603" s="31"/>
      <c r="AE603" s="31"/>
      <c r="AF603" s="31"/>
      <c r="AG603" s="31"/>
      <c r="AH603" s="32"/>
      <c r="AI603" s="33"/>
      <c r="AJ603" s="34"/>
      <c r="AK603" s="31"/>
      <c r="AL603" s="31"/>
      <c r="AM603" s="31"/>
    </row>
    <row r="604" customFormat="false" ht="14.25" hidden="false" customHeight="true" outlineLevel="0" collapsed="false">
      <c r="A604" s="31"/>
      <c r="B604" s="189"/>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31"/>
      <c r="AD604" s="31"/>
      <c r="AE604" s="31"/>
      <c r="AF604" s="31"/>
      <c r="AG604" s="31"/>
      <c r="AH604" s="32"/>
      <c r="AI604" s="33"/>
      <c r="AJ604" s="34"/>
      <c r="AK604" s="31"/>
      <c r="AL604" s="31"/>
      <c r="AM604" s="31"/>
    </row>
    <row r="605" customFormat="false" ht="14.25" hidden="false" customHeight="true" outlineLevel="0" collapsed="false">
      <c r="A605" s="31"/>
      <c r="B605" s="189"/>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31"/>
      <c r="AD605" s="31"/>
      <c r="AE605" s="31"/>
      <c r="AF605" s="31"/>
      <c r="AG605" s="31"/>
      <c r="AH605" s="32"/>
      <c r="AI605" s="33"/>
      <c r="AJ605" s="34"/>
      <c r="AK605" s="31"/>
      <c r="AL605" s="31"/>
      <c r="AM605" s="31"/>
    </row>
    <row r="606" customFormat="false" ht="14.25" hidden="false" customHeight="true" outlineLevel="0" collapsed="false">
      <c r="A606" s="31"/>
      <c r="B606" s="189"/>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31"/>
      <c r="AD606" s="31"/>
      <c r="AE606" s="31"/>
      <c r="AF606" s="31"/>
      <c r="AG606" s="31"/>
      <c r="AH606" s="32"/>
      <c r="AI606" s="33"/>
      <c r="AJ606" s="34"/>
      <c r="AK606" s="31"/>
      <c r="AL606" s="31"/>
      <c r="AM606" s="31"/>
    </row>
    <row r="607" customFormat="false" ht="14.25" hidden="false" customHeight="true" outlineLevel="0" collapsed="false">
      <c r="A607" s="31"/>
      <c r="B607" s="189"/>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31"/>
      <c r="AD607" s="31"/>
      <c r="AE607" s="31"/>
      <c r="AF607" s="31"/>
      <c r="AG607" s="31"/>
      <c r="AH607" s="32"/>
      <c r="AI607" s="33"/>
      <c r="AJ607" s="34"/>
      <c r="AK607" s="31"/>
      <c r="AL607" s="31"/>
      <c r="AM607" s="31"/>
    </row>
    <row r="608" customFormat="false" ht="14.25" hidden="false" customHeight="true" outlineLevel="0" collapsed="false">
      <c r="A608" s="31"/>
      <c r="B608" s="189"/>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31"/>
      <c r="AD608" s="31"/>
      <c r="AE608" s="31"/>
      <c r="AF608" s="31"/>
      <c r="AG608" s="31"/>
      <c r="AH608" s="32"/>
      <c r="AI608" s="33"/>
      <c r="AJ608" s="34"/>
      <c r="AK608" s="31"/>
      <c r="AL608" s="31"/>
      <c r="AM608" s="31"/>
    </row>
    <row r="609" customFormat="false" ht="14.25" hidden="false" customHeight="true" outlineLevel="0" collapsed="false">
      <c r="A609" s="31"/>
      <c r="B609" s="189"/>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31"/>
      <c r="AD609" s="31"/>
      <c r="AE609" s="31"/>
      <c r="AF609" s="31"/>
      <c r="AG609" s="31"/>
      <c r="AH609" s="32"/>
      <c r="AI609" s="33"/>
      <c r="AJ609" s="34"/>
      <c r="AK609" s="31"/>
      <c r="AL609" s="31"/>
      <c r="AM609" s="31"/>
    </row>
    <row r="610" customFormat="false" ht="14.25" hidden="false" customHeight="true" outlineLevel="0" collapsed="false">
      <c r="A610" s="31"/>
      <c r="B610" s="189"/>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31"/>
      <c r="AD610" s="31"/>
      <c r="AE610" s="31"/>
      <c r="AF610" s="31"/>
      <c r="AG610" s="31"/>
      <c r="AH610" s="32"/>
      <c r="AI610" s="33"/>
      <c r="AJ610" s="34"/>
      <c r="AK610" s="31"/>
      <c r="AL610" s="31"/>
      <c r="AM610" s="31"/>
    </row>
    <row r="611" customFormat="false" ht="14.25" hidden="false" customHeight="true" outlineLevel="0" collapsed="false">
      <c r="A611" s="31"/>
      <c r="B611" s="189"/>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31"/>
      <c r="AD611" s="31"/>
      <c r="AE611" s="31"/>
      <c r="AF611" s="31"/>
      <c r="AG611" s="31"/>
      <c r="AH611" s="32"/>
      <c r="AI611" s="33"/>
      <c r="AJ611" s="34"/>
      <c r="AK611" s="31"/>
      <c r="AL611" s="31"/>
      <c r="AM611" s="31"/>
    </row>
    <row r="612" customFormat="false" ht="14.25" hidden="false" customHeight="true" outlineLevel="0" collapsed="false">
      <c r="A612" s="31"/>
      <c r="B612" s="189"/>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31"/>
      <c r="AD612" s="31"/>
      <c r="AE612" s="31"/>
      <c r="AF612" s="31"/>
      <c r="AG612" s="31"/>
      <c r="AH612" s="32"/>
      <c r="AI612" s="33"/>
      <c r="AJ612" s="34"/>
      <c r="AK612" s="31"/>
      <c r="AL612" s="31"/>
      <c r="AM612" s="31"/>
    </row>
    <row r="613" customFormat="false" ht="14.25" hidden="false" customHeight="true" outlineLevel="0" collapsed="false">
      <c r="A613" s="31"/>
      <c r="B613" s="189"/>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31"/>
      <c r="AD613" s="31"/>
      <c r="AE613" s="31"/>
      <c r="AF613" s="31"/>
      <c r="AG613" s="31"/>
      <c r="AH613" s="32"/>
      <c r="AI613" s="33"/>
      <c r="AJ613" s="34"/>
      <c r="AK613" s="31"/>
      <c r="AL613" s="31"/>
      <c r="AM613" s="31"/>
    </row>
    <row r="614" customFormat="false" ht="14.25" hidden="false" customHeight="true" outlineLevel="0" collapsed="false">
      <c r="A614" s="31"/>
      <c r="B614" s="189"/>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31"/>
      <c r="AD614" s="31"/>
      <c r="AE614" s="31"/>
      <c r="AF614" s="31"/>
      <c r="AG614" s="31"/>
      <c r="AH614" s="32"/>
      <c r="AI614" s="33"/>
      <c r="AJ614" s="34"/>
      <c r="AK614" s="31"/>
      <c r="AL614" s="31"/>
      <c r="AM614" s="31"/>
    </row>
    <row r="615" customFormat="false" ht="14.25" hidden="false" customHeight="true" outlineLevel="0" collapsed="false">
      <c r="A615" s="31"/>
      <c r="B615" s="189"/>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31"/>
      <c r="AD615" s="31"/>
      <c r="AE615" s="31"/>
      <c r="AF615" s="31"/>
      <c r="AG615" s="31"/>
      <c r="AH615" s="32"/>
      <c r="AI615" s="33"/>
      <c r="AJ615" s="34"/>
      <c r="AK615" s="31"/>
      <c r="AL615" s="31"/>
      <c r="AM615" s="31"/>
    </row>
    <row r="616" customFormat="false" ht="14.25" hidden="false" customHeight="true" outlineLevel="0" collapsed="false">
      <c r="A616" s="31"/>
      <c r="B616" s="189"/>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31"/>
      <c r="AD616" s="31"/>
      <c r="AE616" s="31"/>
      <c r="AF616" s="31"/>
      <c r="AG616" s="31"/>
      <c r="AH616" s="32"/>
      <c r="AI616" s="33"/>
      <c r="AJ616" s="34"/>
      <c r="AK616" s="31"/>
      <c r="AL616" s="31"/>
      <c r="AM616" s="31"/>
    </row>
    <row r="617" customFormat="false" ht="14.25" hidden="false" customHeight="true" outlineLevel="0" collapsed="false">
      <c r="A617" s="31"/>
      <c r="B617" s="189"/>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31"/>
      <c r="AD617" s="31"/>
      <c r="AE617" s="31"/>
      <c r="AF617" s="31"/>
      <c r="AG617" s="31"/>
      <c r="AH617" s="32"/>
      <c r="AI617" s="33"/>
      <c r="AJ617" s="34"/>
      <c r="AK617" s="31"/>
      <c r="AL617" s="31"/>
      <c r="AM617" s="31"/>
    </row>
    <row r="618" customFormat="false" ht="14.25" hidden="false" customHeight="true" outlineLevel="0" collapsed="false">
      <c r="A618" s="31"/>
      <c r="B618" s="189"/>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31"/>
      <c r="AD618" s="31"/>
      <c r="AE618" s="31"/>
      <c r="AF618" s="31"/>
      <c r="AG618" s="31"/>
      <c r="AH618" s="32"/>
      <c r="AI618" s="33"/>
      <c r="AJ618" s="34"/>
      <c r="AK618" s="31"/>
      <c r="AL618" s="31"/>
      <c r="AM618" s="31"/>
    </row>
    <row r="619" customFormat="false" ht="14.25" hidden="false" customHeight="true" outlineLevel="0" collapsed="false">
      <c r="A619" s="31"/>
      <c r="B619" s="189"/>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31"/>
      <c r="AD619" s="31"/>
      <c r="AE619" s="31"/>
      <c r="AF619" s="31"/>
      <c r="AG619" s="31"/>
      <c r="AH619" s="32"/>
      <c r="AI619" s="33"/>
      <c r="AJ619" s="34"/>
      <c r="AK619" s="31"/>
      <c r="AL619" s="31"/>
      <c r="AM619" s="31"/>
    </row>
    <row r="620" customFormat="false" ht="14.25" hidden="false" customHeight="true" outlineLevel="0" collapsed="false">
      <c r="A620" s="31"/>
      <c r="B620" s="189"/>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31"/>
      <c r="AD620" s="31"/>
      <c r="AE620" s="31"/>
      <c r="AF620" s="31"/>
      <c r="AG620" s="31"/>
      <c r="AH620" s="32"/>
      <c r="AI620" s="33"/>
      <c r="AJ620" s="34"/>
      <c r="AK620" s="31"/>
      <c r="AL620" s="31"/>
      <c r="AM620" s="31"/>
    </row>
    <row r="621" customFormat="false" ht="14.25" hidden="false" customHeight="true" outlineLevel="0" collapsed="false">
      <c r="A621" s="31"/>
      <c r="B621" s="189"/>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31"/>
      <c r="AD621" s="31"/>
      <c r="AE621" s="31"/>
      <c r="AF621" s="31"/>
      <c r="AG621" s="31"/>
      <c r="AH621" s="32"/>
      <c r="AI621" s="33"/>
      <c r="AJ621" s="34"/>
      <c r="AK621" s="31"/>
      <c r="AL621" s="31"/>
      <c r="AM621" s="31"/>
    </row>
    <row r="622" customFormat="false" ht="14.25" hidden="false" customHeight="true" outlineLevel="0" collapsed="false">
      <c r="A622" s="31"/>
      <c r="B622" s="189"/>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31"/>
      <c r="AD622" s="31"/>
      <c r="AE622" s="31"/>
      <c r="AF622" s="31"/>
      <c r="AG622" s="31"/>
      <c r="AH622" s="32"/>
      <c r="AI622" s="33"/>
      <c r="AJ622" s="34"/>
      <c r="AK622" s="31"/>
      <c r="AL622" s="31"/>
      <c r="AM622" s="31"/>
    </row>
    <row r="623" customFormat="false" ht="14.25" hidden="false" customHeight="true" outlineLevel="0" collapsed="false">
      <c r="A623" s="31"/>
      <c r="B623" s="189"/>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31"/>
      <c r="AD623" s="31"/>
      <c r="AE623" s="31"/>
      <c r="AF623" s="31"/>
      <c r="AG623" s="31"/>
      <c r="AH623" s="32"/>
      <c r="AI623" s="33"/>
      <c r="AJ623" s="34"/>
      <c r="AK623" s="31"/>
      <c r="AL623" s="31"/>
      <c r="AM623" s="31"/>
    </row>
    <row r="624" customFormat="false" ht="14.25" hidden="false" customHeight="true" outlineLevel="0" collapsed="false">
      <c r="A624" s="31"/>
      <c r="B624" s="189"/>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31"/>
      <c r="AD624" s="31"/>
      <c r="AE624" s="31"/>
      <c r="AF624" s="31"/>
      <c r="AG624" s="31"/>
      <c r="AH624" s="32"/>
      <c r="AI624" s="33"/>
      <c r="AJ624" s="34"/>
      <c r="AK624" s="31"/>
      <c r="AL624" s="31"/>
      <c r="AM624" s="31"/>
    </row>
    <row r="625" customFormat="false" ht="14.25" hidden="false" customHeight="true" outlineLevel="0" collapsed="false">
      <c r="A625" s="31"/>
      <c r="B625" s="189"/>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31"/>
      <c r="AD625" s="31"/>
      <c r="AE625" s="31"/>
      <c r="AF625" s="31"/>
      <c r="AG625" s="31"/>
      <c r="AH625" s="32"/>
      <c r="AI625" s="33"/>
      <c r="AJ625" s="34"/>
      <c r="AK625" s="31"/>
      <c r="AL625" s="31"/>
      <c r="AM625" s="31"/>
    </row>
    <row r="626" customFormat="false" ht="14.25" hidden="false" customHeight="true" outlineLevel="0" collapsed="false">
      <c r="A626" s="31"/>
      <c r="B626" s="189"/>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31"/>
      <c r="AD626" s="31"/>
      <c r="AE626" s="31"/>
      <c r="AF626" s="31"/>
      <c r="AG626" s="31"/>
      <c r="AH626" s="32"/>
      <c r="AI626" s="33"/>
      <c r="AJ626" s="34"/>
      <c r="AK626" s="31"/>
      <c r="AL626" s="31"/>
      <c r="AM626" s="31"/>
    </row>
    <row r="627" customFormat="false" ht="14.25" hidden="false" customHeight="true" outlineLevel="0" collapsed="false">
      <c r="A627" s="31"/>
      <c r="B627" s="189"/>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31"/>
      <c r="AD627" s="31"/>
      <c r="AE627" s="31"/>
      <c r="AF627" s="31"/>
      <c r="AG627" s="31"/>
      <c r="AH627" s="32"/>
      <c r="AI627" s="33"/>
      <c r="AJ627" s="34"/>
      <c r="AK627" s="31"/>
      <c r="AL627" s="31"/>
      <c r="AM627" s="31"/>
    </row>
    <row r="628" customFormat="false" ht="14.25" hidden="false" customHeight="true" outlineLevel="0" collapsed="false">
      <c r="A628" s="31"/>
      <c r="B628" s="189"/>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31"/>
      <c r="AD628" s="31"/>
      <c r="AE628" s="31"/>
      <c r="AF628" s="31"/>
      <c r="AG628" s="31"/>
      <c r="AH628" s="32"/>
      <c r="AI628" s="33"/>
      <c r="AJ628" s="34"/>
      <c r="AK628" s="31"/>
      <c r="AL628" s="31"/>
      <c r="AM628" s="31"/>
    </row>
    <row r="629" customFormat="false" ht="14.25" hidden="false" customHeight="true" outlineLevel="0" collapsed="false">
      <c r="A629" s="31"/>
      <c r="B629" s="189"/>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31"/>
      <c r="AD629" s="31"/>
      <c r="AE629" s="31"/>
      <c r="AF629" s="31"/>
      <c r="AG629" s="31"/>
      <c r="AH629" s="32"/>
      <c r="AI629" s="33"/>
      <c r="AJ629" s="34"/>
      <c r="AK629" s="31"/>
      <c r="AL629" s="31"/>
      <c r="AM629" s="31"/>
    </row>
    <row r="630" customFormat="false" ht="14.25" hidden="false" customHeight="true" outlineLevel="0" collapsed="false">
      <c r="A630" s="31"/>
      <c r="B630" s="189"/>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31"/>
      <c r="AD630" s="31"/>
      <c r="AE630" s="31"/>
      <c r="AF630" s="31"/>
      <c r="AG630" s="31"/>
      <c r="AH630" s="32"/>
      <c r="AI630" s="33"/>
      <c r="AJ630" s="34"/>
      <c r="AK630" s="31"/>
      <c r="AL630" s="31"/>
      <c r="AM630" s="31"/>
    </row>
    <row r="631" customFormat="false" ht="14.25" hidden="false" customHeight="true" outlineLevel="0" collapsed="false">
      <c r="A631" s="31"/>
      <c r="B631" s="189"/>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31"/>
      <c r="AD631" s="31"/>
      <c r="AE631" s="31"/>
      <c r="AF631" s="31"/>
      <c r="AG631" s="31"/>
      <c r="AH631" s="32"/>
      <c r="AI631" s="33"/>
      <c r="AJ631" s="34"/>
      <c r="AK631" s="31"/>
      <c r="AL631" s="31"/>
      <c r="AM631" s="31"/>
    </row>
    <row r="632" customFormat="false" ht="14.25" hidden="false" customHeight="true" outlineLevel="0" collapsed="false">
      <c r="A632" s="31"/>
      <c r="B632" s="189"/>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31"/>
      <c r="AD632" s="31"/>
      <c r="AE632" s="31"/>
      <c r="AF632" s="31"/>
      <c r="AG632" s="31"/>
      <c r="AH632" s="32"/>
      <c r="AI632" s="33"/>
      <c r="AJ632" s="34"/>
      <c r="AK632" s="31"/>
      <c r="AL632" s="31"/>
      <c r="AM632" s="31"/>
    </row>
    <row r="633" customFormat="false" ht="14.25" hidden="false" customHeight="true" outlineLevel="0" collapsed="false">
      <c r="A633" s="31"/>
      <c r="B633" s="189"/>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31"/>
      <c r="AD633" s="31"/>
      <c r="AE633" s="31"/>
      <c r="AF633" s="31"/>
      <c r="AG633" s="31"/>
      <c r="AH633" s="32"/>
      <c r="AI633" s="33"/>
      <c r="AJ633" s="34"/>
      <c r="AK633" s="31"/>
      <c r="AL633" s="31"/>
      <c r="AM633" s="31"/>
    </row>
    <row r="634" customFormat="false" ht="14.25" hidden="false" customHeight="true" outlineLevel="0" collapsed="false">
      <c r="A634" s="31"/>
      <c r="B634" s="189"/>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31"/>
      <c r="AD634" s="31"/>
      <c r="AE634" s="31"/>
      <c r="AF634" s="31"/>
      <c r="AG634" s="31"/>
      <c r="AH634" s="32"/>
      <c r="AI634" s="33"/>
      <c r="AJ634" s="34"/>
      <c r="AK634" s="31"/>
      <c r="AL634" s="31"/>
      <c r="AM634" s="31"/>
    </row>
    <row r="635" customFormat="false" ht="14.25" hidden="false" customHeight="true" outlineLevel="0" collapsed="false">
      <c r="A635" s="31"/>
      <c r="B635" s="189"/>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31"/>
      <c r="AD635" s="31"/>
      <c r="AE635" s="31"/>
      <c r="AF635" s="31"/>
      <c r="AG635" s="31"/>
      <c r="AH635" s="32"/>
      <c r="AI635" s="33"/>
      <c r="AJ635" s="34"/>
      <c r="AK635" s="31"/>
      <c r="AL635" s="31"/>
      <c r="AM635" s="31"/>
    </row>
    <row r="636" customFormat="false" ht="14.25" hidden="false" customHeight="true" outlineLevel="0" collapsed="false">
      <c r="A636" s="31"/>
      <c r="B636" s="189"/>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31"/>
      <c r="AD636" s="31"/>
      <c r="AE636" s="31"/>
      <c r="AF636" s="31"/>
      <c r="AG636" s="31"/>
      <c r="AH636" s="32"/>
      <c r="AI636" s="33"/>
      <c r="AJ636" s="34"/>
      <c r="AK636" s="31"/>
      <c r="AL636" s="31"/>
      <c r="AM636" s="31"/>
    </row>
    <row r="637" customFormat="false" ht="14.25" hidden="false" customHeight="true" outlineLevel="0" collapsed="false">
      <c r="A637" s="31"/>
      <c r="B637" s="189"/>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31"/>
      <c r="AD637" s="31"/>
      <c r="AE637" s="31"/>
      <c r="AF637" s="31"/>
      <c r="AG637" s="31"/>
      <c r="AH637" s="32"/>
      <c r="AI637" s="33"/>
      <c r="AJ637" s="34"/>
      <c r="AK637" s="31"/>
      <c r="AL637" s="31"/>
      <c r="AM637" s="31"/>
    </row>
    <row r="638" customFormat="false" ht="14.25" hidden="false" customHeight="true" outlineLevel="0" collapsed="false">
      <c r="A638" s="31"/>
      <c r="B638" s="189"/>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31"/>
      <c r="AD638" s="31"/>
      <c r="AE638" s="31"/>
      <c r="AF638" s="31"/>
      <c r="AG638" s="31"/>
      <c r="AH638" s="32"/>
      <c r="AI638" s="33"/>
      <c r="AJ638" s="34"/>
      <c r="AK638" s="31"/>
      <c r="AL638" s="31"/>
      <c r="AM638" s="31"/>
    </row>
    <row r="639" customFormat="false" ht="14.25" hidden="false" customHeight="true" outlineLevel="0" collapsed="false">
      <c r="A639" s="31"/>
      <c r="B639" s="189"/>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31"/>
      <c r="AD639" s="31"/>
      <c r="AE639" s="31"/>
      <c r="AF639" s="31"/>
      <c r="AG639" s="31"/>
      <c r="AH639" s="32"/>
      <c r="AI639" s="33"/>
      <c r="AJ639" s="34"/>
      <c r="AK639" s="31"/>
      <c r="AL639" s="31"/>
      <c r="AM639" s="31"/>
    </row>
    <row r="640" customFormat="false" ht="14.25" hidden="false" customHeight="true" outlineLevel="0" collapsed="false">
      <c r="A640" s="31"/>
      <c r="B640" s="189"/>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31"/>
      <c r="AD640" s="31"/>
      <c r="AE640" s="31"/>
      <c r="AF640" s="31"/>
      <c r="AG640" s="31"/>
      <c r="AH640" s="32"/>
      <c r="AI640" s="33"/>
      <c r="AJ640" s="34"/>
      <c r="AK640" s="31"/>
      <c r="AL640" s="31"/>
      <c r="AM640" s="31"/>
    </row>
    <row r="641" customFormat="false" ht="14.25" hidden="false" customHeight="true" outlineLevel="0" collapsed="false">
      <c r="A641" s="31"/>
      <c r="B641" s="189"/>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31"/>
      <c r="AD641" s="31"/>
      <c r="AE641" s="31"/>
      <c r="AF641" s="31"/>
      <c r="AG641" s="31"/>
      <c r="AH641" s="32"/>
      <c r="AI641" s="33"/>
      <c r="AJ641" s="34"/>
      <c r="AK641" s="31"/>
      <c r="AL641" s="31"/>
      <c r="AM641" s="31"/>
    </row>
    <row r="642" customFormat="false" ht="14.25" hidden="false" customHeight="true" outlineLevel="0" collapsed="false">
      <c r="A642" s="31"/>
      <c r="B642" s="189"/>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31"/>
      <c r="AD642" s="31"/>
      <c r="AE642" s="31"/>
      <c r="AF642" s="31"/>
      <c r="AG642" s="31"/>
      <c r="AH642" s="32"/>
      <c r="AI642" s="33"/>
      <c r="AJ642" s="34"/>
      <c r="AK642" s="31"/>
      <c r="AL642" s="31"/>
      <c r="AM642" s="31"/>
    </row>
    <row r="643" customFormat="false" ht="14.25" hidden="false" customHeight="true" outlineLevel="0" collapsed="false">
      <c r="A643" s="31"/>
      <c r="B643" s="189"/>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31"/>
      <c r="AD643" s="31"/>
      <c r="AE643" s="31"/>
      <c r="AF643" s="31"/>
      <c r="AG643" s="31"/>
      <c r="AH643" s="32"/>
      <c r="AI643" s="33"/>
      <c r="AJ643" s="34"/>
      <c r="AK643" s="31"/>
      <c r="AL643" s="31"/>
      <c r="AM643" s="31"/>
    </row>
    <row r="644" customFormat="false" ht="14.25" hidden="false" customHeight="true" outlineLevel="0" collapsed="false">
      <c r="A644" s="31"/>
      <c r="B644" s="189"/>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31"/>
      <c r="AD644" s="31"/>
      <c r="AE644" s="31"/>
      <c r="AF644" s="31"/>
      <c r="AG644" s="31"/>
      <c r="AH644" s="32"/>
      <c r="AI644" s="33"/>
      <c r="AJ644" s="34"/>
      <c r="AK644" s="31"/>
      <c r="AL644" s="31"/>
      <c r="AM644" s="31"/>
    </row>
    <row r="645" customFormat="false" ht="14.25" hidden="false" customHeight="true" outlineLevel="0" collapsed="false">
      <c r="A645" s="31"/>
      <c r="B645" s="189"/>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31"/>
      <c r="AD645" s="31"/>
      <c r="AE645" s="31"/>
      <c r="AF645" s="31"/>
      <c r="AG645" s="31"/>
      <c r="AH645" s="32"/>
      <c r="AI645" s="33"/>
      <c r="AJ645" s="34"/>
      <c r="AK645" s="31"/>
      <c r="AL645" s="31"/>
      <c r="AM645" s="31"/>
    </row>
    <row r="646" customFormat="false" ht="14.25" hidden="false" customHeight="true" outlineLevel="0" collapsed="false">
      <c r="A646" s="31"/>
      <c r="B646" s="189"/>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31"/>
      <c r="AD646" s="31"/>
      <c r="AE646" s="31"/>
      <c r="AF646" s="31"/>
      <c r="AG646" s="31"/>
      <c r="AH646" s="32"/>
      <c r="AI646" s="33"/>
      <c r="AJ646" s="34"/>
      <c r="AK646" s="31"/>
      <c r="AL646" s="31"/>
      <c r="AM646" s="31"/>
    </row>
    <row r="647" customFormat="false" ht="14.25" hidden="false" customHeight="true" outlineLevel="0" collapsed="false">
      <c r="A647" s="31"/>
      <c r="B647" s="189"/>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31"/>
      <c r="AD647" s="31"/>
      <c r="AE647" s="31"/>
      <c r="AF647" s="31"/>
      <c r="AG647" s="31"/>
      <c r="AH647" s="32"/>
      <c r="AI647" s="33"/>
      <c r="AJ647" s="34"/>
      <c r="AK647" s="31"/>
      <c r="AL647" s="31"/>
      <c r="AM647" s="31"/>
    </row>
    <row r="648" customFormat="false" ht="14.25" hidden="false" customHeight="true" outlineLevel="0" collapsed="false">
      <c r="A648" s="31"/>
      <c r="B648" s="189"/>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31"/>
      <c r="AD648" s="31"/>
      <c r="AE648" s="31"/>
      <c r="AF648" s="31"/>
      <c r="AG648" s="31"/>
      <c r="AH648" s="32"/>
      <c r="AI648" s="33"/>
      <c r="AJ648" s="34"/>
      <c r="AK648" s="31"/>
      <c r="AL648" s="31"/>
      <c r="AM648" s="31"/>
    </row>
    <row r="649" customFormat="false" ht="14.25" hidden="false" customHeight="true" outlineLevel="0" collapsed="false">
      <c r="A649" s="31"/>
      <c r="B649" s="189"/>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31"/>
      <c r="AD649" s="31"/>
      <c r="AE649" s="31"/>
      <c r="AF649" s="31"/>
      <c r="AG649" s="31"/>
      <c r="AH649" s="32"/>
      <c r="AI649" s="33"/>
      <c r="AJ649" s="34"/>
      <c r="AK649" s="31"/>
      <c r="AL649" s="31"/>
      <c r="AM649" s="31"/>
    </row>
    <row r="650" customFormat="false" ht="14.25" hidden="false" customHeight="true" outlineLevel="0" collapsed="false">
      <c r="A650" s="31"/>
      <c r="B650" s="189"/>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31"/>
      <c r="AD650" s="31"/>
      <c r="AE650" s="31"/>
      <c r="AF650" s="31"/>
      <c r="AG650" s="31"/>
      <c r="AH650" s="32"/>
      <c r="AI650" s="33"/>
      <c r="AJ650" s="34"/>
      <c r="AK650" s="31"/>
      <c r="AL650" s="31"/>
      <c r="AM650" s="31"/>
    </row>
    <row r="651" customFormat="false" ht="14.25" hidden="false" customHeight="true" outlineLevel="0" collapsed="false">
      <c r="A651" s="31"/>
      <c r="B651" s="189"/>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31"/>
      <c r="AD651" s="31"/>
      <c r="AE651" s="31"/>
      <c r="AF651" s="31"/>
      <c r="AG651" s="31"/>
      <c r="AH651" s="32"/>
      <c r="AI651" s="33"/>
      <c r="AJ651" s="34"/>
      <c r="AK651" s="31"/>
      <c r="AL651" s="31"/>
      <c r="AM651" s="31"/>
    </row>
    <row r="652" customFormat="false" ht="14.25" hidden="false" customHeight="true" outlineLevel="0" collapsed="false">
      <c r="A652" s="31"/>
      <c r="B652" s="189"/>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31"/>
      <c r="AD652" s="31"/>
      <c r="AE652" s="31"/>
      <c r="AF652" s="31"/>
      <c r="AG652" s="31"/>
      <c r="AH652" s="32"/>
      <c r="AI652" s="33"/>
      <c r="AJ652" s="34"/>
      <c r="AK652" s="31"/>
      <c r="AL652" s="31"/>
      <c r="AM652" s="31"/>
    </row>
    <row r="653" customFormat="false" ht="14.25" hidden="false" customHeight="true" outlineLevel="0" collapsed="false">
      <c r="A653" s="31"/>
      <c r="B653" s="189"/>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31"/>
      <c r="AD653" s="31"/>
      <c r="AE653" s="31"/>
      <c r="AF653" s="31"/>
      <c r="AG653" s="31"/>
      <c r="AH653" s="32"/>
      <c r="AI653" s="33"/>
      <c r="AJ653" s="34"/>
      <c r="AK653" s="31"/>
      <c r="AL653" s="31"/>
      <c r="AM653" s="31"/>
    </row>
    <row r="654" customFormat="false" ht="14.25" hidden="false" customHeight="true" outlineLevel="0" collapsed="false">
      <c r="A654" s="31"/>
      <c r="B654" s="189"/>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31"/>
      <c r="AD654" s="31"/>
      <c r="AE654" s="31"/>
      <c r="AF654" s="31"/>
      <c r="AG654" s="31"/>
      <c r="AH654" s="32"/>
      <c r="AI654" s="33"/>
      <c r="AJ654" s="34"/>
      <c r="AK654" s="31"/>
      <c r="AL654" s="31"/>
      <c r="AM654" s="31"/>
    </row>
    <row r="655" customFormat="false" ht="14.25" hidden="false" customHeight="true" outlineLevel="0" collapsed="false">
      <c r="A655" s="31"/>
      <c r="B655" s="189"/>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31"/>
      <c r="AD655" s="31"/>
      <c r="AE655" s="31"/>
      <c r="AF655" s="31"/>
      <c r="AG655" s="31"/>
      <c r="AH655" s="32"/>
      <c r="AI655" s="33"/>
      <c r="AJ655" s="34"/>
      <c r="AK655" s="31"/>
      <c r="AL655" s="31"/>
      <c r="AM655" s="31"/>
    </row>
    <row r="656" customFormat="false" ht="14.25" hidden="false" customHeight="true" outlineLevel="0" collapsed="false">
      <c r="A656" s="31"/>
      <c r="B656" s="189"/>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31"/>
      <c r="AD656" s="31"/>
      <c r="AE656" s="31"/>
      <c r="AF656" s="31"/>
      <c r="AG656" s="31"/>
      <c r="AH656" s="32"/>
      <c r="AI656" s="33"/>
      <c r="AJ656" s="34"/>
      <c r="AK656" s="31"/>
      <c r="AL656" s="31"/>
      <c r="AM656" s="31"/>
    </row>
    <row r="657" customFormat="false" ht="14.25" hidden="false" customHeight="true" outlineLevel="0" collapsed="false">
      <c r="A657" s="31"/>
      <c r="B657" s="189"/>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31"/>
      <c r="AD657" s="31"/>
      <c r="AE657" s="31"/>
      <c r="AF657" s="31"/>
      <c r="AG657" s="31"/>
      <c r="AH657" s="32"/>
      <c r="AI657" s="33"/>
      <c r="AJ657" s="34"/>
      <c r="AK657" s="31"/>
      <c r="AL657" s="31"/>
      <c r="AM657" s="31"/>
    </row>
    <row r="658" customFormat="false" ht="14.25" hidden="false" customHeight="true" outlineLevel="0" collapsed="false">
      <c r="A658" s="31"/>
      <c r="B658" s="189"/>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31"/>
      <c r="AD658" s="31"/>
      <c r="AE658" s="31"/>
      <c r="AF658" s="31"/>
      <c r="AG658" s="31"/>
      <c r="AH658" s="32"/>
      <c r="AI658" s="33"/>
      <c r="AJ658" s="34"/>
      <c r="AK658" s="31"/>
      <c r="AL658" s="31"/>
      <c r="AM658" s="31"/>
    </row>
    <row r="659" customFormat="false" ht="14.25" hidden="false" customHeight="true" outlineLevel="0" collapsed="false">
      <c r="A659" s="31"/>
      <c r="B659" s="189"/>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31"/>
      <c r="AD659" s="31"/>
      <c r="AE659" s="31"/>
      <c r="AF659" s="31"/>
      <c r="AG659" s="31"/>
      <c r="AH659" s="32"/>
      <c r="AI659" s="33"/>
      <c r="AJ659" s="34"/>
      <c r="AK659" s="31"/>
      <c r="AL659" s="31"/>
      <c r="AM659" s="31"/>
    </row>
    <row r="660" customFormat="false" ht="14.25" hidden="false" customHeight="true" outlineLevel="0" collapsed="false">
      <c r="A660" s="31"/>
      <c r="B660" s="189"/>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31"/>
      <c r="AD660" s="31"/>
      <c r="AE660" s="31"/>
      <c r="AF660" s="31"/>
      <c r="AG660" s="31"/>
      <c r="AH660" s="32"/>
      <c r="AI660" s="33"/>
      <c r="AJ660" s="34"/>
      <c r="AK660" s="31"/>
      <c r="AL660" s="31"/>
      <c r="AM660" s="31"/>
    </row>
    <row r="661" customFormat="false" ht="14.25" hidden="false" customHeight="true" outlineLevel="0" collapsed="false">
      <c r="A661" s="31"/>
      <c r="B661" s="189"/>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31"/>
      <c r="AD661" s="31"/>
      <c r="AE661" s="31"/>
      <c r="AF661" s="31"/>
      <c r="AG661" s="31"/>
      <c r="AH661" s="32"/>
      <c r="AI661" s="33"/>
      <c r="AJ661" s="34"/>
      <c r="AK661" s="31"/>
      <c r="AL661" s="31"/>
      <c r="AM661" s="31"/>
    </row>
    <row r="662" customFormat="false" ht="14.25" hidden="false" customHeight="true" outlineLevel="0" collapsed="false">
      <c r="A662" s="31"/>
      <c r="B662" s="189"/>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31"/>
      <c r="AD662" s="31"/>
      <c r="AE662" s="31"/>
      <c r="AF662" s="31"/>
      <c r="AG662" s="31"/>
      <c r="AH662" s="32"/>
      <c r="AI662" s="33"/>
      <c r="AJ662" s="34"/>
      <c r="AK662" s="31"/>
      <c r="AL662" s="31"/>
      <c r="AM662" s="31"/>
    </row>
    <row r="663" customFormat="false" ht="14.25" hidden="false" customHeight="true" outlineLevel="0" collapsed="false">
      <c r="A663" s="31"/>
      <c r="B663" s="189"/>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31"/>
      <c r="AD663" s="31"/>
      <c r="AE663" s="31"/>
      <c r="AF663" s="31"/>
      <c r="AG663" s="31"/>
      <c r="AH663" s="32"/>
      <c r="AI663" s="33"/>
      <c r="AJ663" s="34"/>
      <c r="AK663" s="31"/>
      <c r="AL663" s="31"/>
      <c r="AM663" s="31"/>
    </row>
    <row r="664" customFormat="false" ht="14.25" hidden="false" customHeight="true" outlineLevel="0" collapsed="false">
      <c r="A664" s="31"/>
      <c r="B664" s="189"/>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31"/>
      <c r="AD664" s="31"/>
      <c r="AE664" s="31"/>
      <c r="AF664" s="31"/>
      <c r="AG664" s="31"/>
      <c r="AH664" s="32"/>
      <c r="AI664" s="33"/>
      <c r="AJ664" s="34"/>
      <c r="AK664" s="31"/>
      <c r="AL664" s="31"/>
      <c r="AM664" s="31"/>
    </row>
    <row r="665" customFormat="false" ht="14.25" hidden="false" customHeight="true" outlineLevel="0" collapsed="false">
      <c r="A665" s="31"/>
      <c r="B665" s="189"/>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31"/>
      <c r="AD665" s="31"/>
      <c r="AE665" s="31"/>
      <c r="AF665" s="31"/>
      <c r="AG665" s="31"/>
      <c r="AH665" s="32"/>
      <c r="AI665" s="33"/>
      <c r="AJ665" s="34"/>
      <c r="AK665" s="31"/>
      <c r="AL665" s="31"/>
      <c r="AM665" s="31"/>
    </row>
    <row r="666" customFormat="false" ht="14.25" hidden="false" customHeight="true" outlineLevel="0" collapsed="false">
      <c r="A666" s="31"/>
      <c r="B666" s="189"/>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31"/>
      <c r="AD666" s="31"/>
      <c r="AE666" s="31"/>
      <c r="AF666" s="31"/>
      <c r="AG666" s="31"/>
      <c r="AH666" s="32"/>
      <c r="AI666" s="33"/>
      <c r="AJ666" s="34"/>
      <c r="AK666" s="31"/>
      <c r="AL666" s="31"/>
      <c r="AM666" s="31"/>
    </row>
    <row r="667" customFormat="false" ht="14.25" hidden="false" customHeight="true" outlineLevel="0" collapsed="false">
      <c r="A667" s="31"/>
      <c r="B667" s="189"/>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31"/>
      <c r="AD667" s="31"/>
      <c r="AE667" s="31"/>
      <c r="AF667" s="31"/>
      <c r="AG667" s="31"/>
      <c r="AH667" s="32"/>
      <c r="AI667" s="33"/>
      <c r="AJ667" s="34"/>
      <c r="AK667" s="31"/>
      <c r="AL667" s="31"/>
      <c r="AM667" s="31"/>
    </row>
    <row r="668" customFormat="false" ht="14.25" hidden="false" customHeight="true" outlineLevel="0" collapsed="false">
      <c r="A668" s="31"/>
      <c r="B668" s="189"/>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31"/>
      <c r="AD668" s="31"/>
      <c r="AE668" s="31"/>
      <c r="AF668" s="31"/>
      <c r="AG668" s="31"/>
      <c r="AH668" s="32"/>
      <c r="AI668" s="33"/>
      <c r="AJ668" s="34"/>
      <c r="AK668" s="31"/>
      <c r="AL668" s="31"/>
      <c r="AM668" s="31"/>
    </row>
    <row r="669" customFormat="false" ht="14.25" hidden="false" customHeight="true" outlineLevel="0" collapsed="false">
      <c r="A669" s="31"/>
      <c r="B669" s="189"/>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31"/>
      <c r="AD669" s="31"/>
      <c r="AE669" s="31"/>
      <c r="AF669" s="31"/>
      <c r="AG669" s="31"/>
      <c r="AH669" s="32"/>
      <c r="AI669" s="33"/>
      <c r="AJ669" s="34"/>
      <c r="AK669" s="31"/>
      <c r="AL669" s="31"/>
      <c r="AM669" s="31"/>
    </row>
    <row r="670" customFormat="false" ht="14.25" hidden="false" customHeight="true" outlineLevel="0" collapsed="false">
      <c r="A670" s="31"/>
      <c r="B670" s="189"/>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31"/>
      <c r="AD670" s="31"/>
      <c r="AE670" s="31"/>
      <c r="AF670" s="31"/>
      <c r="AG670" s="31"/>
      <c r="AH670" s="32"/>
      <c r="AI670" s="33"/>
      <c r="AJ670" s="34"/>
      <c r="AK670" s="31"/>
      <c r="AL670" s="31"/>
      <c r="AM670" s="31"/>
    </row>
    <row r="671" customFormat="false" ht="14.25" hidden="false" customHeight="true" outlineLevel="0" collapsed="false">
      <c r="A671" s="31"/>
      <c r="B671" s="189"/>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31"/>
      <c r="AD671" s="31"/>
      <c r="AE671" s="31"/>
      <c r="AF671" s="31"/>
      <c r="AG671" s="31"/>
      <c r="AH671" s="32"/>
      <c r="AI671" s="33"/>
      <c r="AJ671" s="34"/>
      <c r="AK671" s="31"/>
      <c r="AL671" s="31"/>
      <c r="AM671" s="31"/>
    </row>
    <row r="672" customFormat="false" ht="14.25" hidden="false" customHeight="true" outlineLevel="0" collapsed="false">
      <c r="A672" s="31"/>
      <c r="B672" s="189"/>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31"/>
      <c r="AD672" s="31"/>
      <c r="AE672" s="31"/>
      <c r="AF672" s="31"/>
      <c r="AG672" s="31"/>
      <c r="AH672" s="32"/>
      <c r="AI672" s="33"/>
      <c r="AJ672" s="34"/>
      <c r="AK672" s="31"/>
      <c r="AL672" s="31"/>
      <c r="AM672" s="31"/>
    </row>
    <row r="673" customFormat="false" ht="14.25" hidden="false" customHeight="true" outlineLevel="0" collapsed="false">
      <c r="A673" s="31"/>
      <c r="B673" s="189"/>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31"/>
      <c r="AD673" s="31"/>
      <c r="AE673" s="31"/>
      <c r="AF673" s="31"/>
      <c r="AG673" s="31"/>
      <c r="AH673" s="32"/>
      <c r="AI673" s="33"/>
      <c r="AJ673" s="34"/>
      <c r="AK673" s="31"/>
      <c r="AL673" s="31"/>
      <c r="AM673" s="31"/>
    </row>
    <row r="674" customFormat="false" ht="14.25" hidden="false" customHeight="true" outlineLevel="0" collapsed="false">
      <c r="A674" s="31"/>
      <c r="B674" s="189"/>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31"/>
      <c r="AD674" s="31"/>
      <c r="AE674" s="31"/>
      <c r="AF674" s="31"/>
      <c r="AG674" s="31"/>
      <c r="AH674" s="32"/>
      <c r="AI674" s="33"/>
      <c r="AJ674" s="34"/>
      <c r="AK674" s="31"/>
      <c r="AL674" s="31"/>
      <c r="AM674" s="31"/>
    </row>
    <row r="675" customFormat="false" ht="14.25" hidden="false" customHeight="true" outlineLevel="0" collapsed="false">
      <c r="A675" s="31"/>
      <c r="B675" s="189"/>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31"/>
      <c r="AD675" s="31"/>
      <c r="AE675" s="31"/>
      <c r="AF675" s="31"/>
      <c r="AG675" s="31"/>
      <c r="AH675" s="32"/>
      <c r="AI675" s="33"/>
      <c r="AJ675" s="34"/>
      <c r="AK675" s="31"/>
      <c r="AL675" s="31"/>
      <c r="AM675" s="31"/>
    </row>
    <row r="676" customFormat="false" ht="14.25" hidden="false" customHeight="true" outlineLevel="0" collapsed="false">
      <c r="A676" s="31"/>
      <c r="B676" s="189"/>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31"/>
      <c r="AD676" s="31"/>
      <c r="AE676" s="31"/>
      <c r="AF676" s="31"/>
      <c r="AG676" s="31"/>
      <c r="AH676" s="32"/>
      <c r="AI676" s="33"/>
      <c r="AJ676" s="34"/>
      <c r="AK676" s="31"/>
      <c r="AL676" s="31"/>
      <c r="AM676" s="31"/>
    </row>
    <row r="677" customFormat="false" ht="14.25" hidden="false" customHeight="true" outlineLevel="0" collapsed="false">
      <c r="A677" s="31"/>
      <c r="B677" s="189"/>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31"/>
      <c r="AD677" s="31"/>
      <c r="AE677" s="31"/>
      <c r="AF677" s="31"/>
      <c r="AG677" s="31"/>
      <c r="AH677" s="32"/>
      <c r="AI677" s="33"/>
      <c r="AJ677" s="34"/>
      <c r="AK677" s="31"/>
      <c r="AL677" s="31"/>
      <c r="AM677" s="31"/>
    </row>
    <row r="678" customFormat="false" ht="14.25" hidden="false" customHeight="true" outlineLevel="0" collapsed="false">
      <c r="A678" s="31"/>
      <c r="B678" s="189"/>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31"/>
      <c r="AD678" s="31"/>
      <c r="AE678" s="31"/>
      <c r="AF678" s="31"/>
      <c r="AG678" s="31"/>
      <c r="AH678" s="32"/>
      <c r="AI678" s="33"/>
      <c r="AJ678" s="34"/>
      <c r="AK678" s="31"/>
      <c r="AL678" s="31"/>
      <c r="AM678" s="31"/>
    </row>
    <row r="679" customFormat="false" ht="14.25" hidden="false" customHeight="true" outlineLevel="0" collapsed="false">
      <c r="A679" s="31"/>
      <c r="B679" s="189"/>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31"/>
      <c r="AD679" s="31"/>
      <c r="AE679" s="31"/>
      <c r="AF679" s="31"/>
      <c r="AG679" s="31"/>
      <c r="AH679" s="32"/>
      <c r="AI679" s="33"/>
      <c r="AJ679" s="34"/>
      <c r="AK679" s="31"/>
      <c r="AL679" s="31"/>
      <c r="AM679" s="31"/>
    </row>
    <row r="680" customFormat="false" ht="14.25" hidden="false" customHeight="true" outlineLevel="0" collapsed="false">
      <c r="A680" s="31"/>
      <c r="B680" s="189"/>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31"/>
      <c r="AD680" s="31"/>
      <c r="AE680" s="31"/>
      <c r="AF680" s="31"/>
      <c r="AG680" s="31"/>
      <c r="AH680" s="32"/>
      <c r="AI680" s="33"/>
      <c r="AJ680" s="34"/>
      <c r="AK680" s="31"/>
      <c r="AL680" s="31"/>
      <c r="AM680" s="31"/>
    </row>
    <row r="681" customFormat="false" ht="14.25" hidden="false" customHeight="true" outlineLevel="0" collapsed="false">
      <c r="A681" s="31"/>
      <c r="B681" s="189"/>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31"/>
      <c r="AD681" s="31"/>
      <c r="AE681" s="31"/>
      <c r="AF681" s="31"/>
      <c r="AG681" s="31"/>
      <c r="AH681" s="32"/>
      <c r="AI681" s="33"/>
      <c r="AJ681" s="34"/>
      <c r="AK681" s="31"/>
      <c r="AL681" s="31"/>
      <c r="AM681" s="31"/>
    </row>
    <row r="682" customFormat="false" ht="14.25" hidden="false" customHeight="true" outlineLevel="0" collapsed="false">
      <c r="A682" s="31"/>
      <c r="B682" s="189"/>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31"/>
      <c r="AD682" s="31"/>
      <c r="AE682" s="31"/>
      <c r="AF682" s="31"/>
      <c r="AG682" s="31"/>
      <c r="AH682" s="32"/>
      <c r="AI682" s="33"/>
      <c r="AJ682" s="34"/>
      <c r="AK682" s="31"/>
      <c r="AL682" s="31"/>
      <c r="AM682" s="31"/>
    </row>
    <row r="683" customFormat="false" ht="14.25" hidden="false" customHeight="true" outlineLevel="0" collapsed="false">
      <c r="A683" s="31"/>
      <c r="B683" s="189"/>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31"/>
      <c r="AD683" s="31"/>
      <c r="AE683" s="31"/>
      <c r="AF683" s="31"/>
      <c r="AG683" s="31"/>
      <c r="AH683" s="32"/>
      <c r="AI683" s="33"/>
      <c r="AJ683" s="34"/>
      <c r="AK683" s="31"/>
      <c r="AL683" s="31"/>
      <c r="AM683" s="31"/>
    </row>
    <row r="684" customFormat="false" ht="14.25" hidden="false" customHeight="true" outlineLevel="0" collapsed="false">
      <c r="A684" s="31"/>
      <c r="B684" s="189"/>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31"/>
      <c r="AD684" s="31"/>
      <c r="AE684" s="31"/>
      <c r="AF684" s="31"/>
      <c r="AG684" s="31"/>
      <c r="AH684" s="32"/>
      <c r="AI684" s="33"/>
      <c r="AJ684" s="34"/>
      <c r="AK684" s="31"/>
      <c r="AL684" s="31"/>
      <c r="AM684" s="31"/>
    </row>
    <row r="685" customFormat="false" ht="14.25" hidden="false" customHeight="true" outlineLevel="0" collapsed="false">
      <c r="A685" s="31"/>
      <c r="B685" s="189"/>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31"/>
      <c r="AD685" s="31"/>
      <c r="AE685" s="31"/>
      <c r="AF685" s="31"/>
      <c r="AG685" s="31"/>
      <c r="AH685" s="32"/>
      <c r="AI685" s="33"/>
      <c r="AJ685" s="34"/>
      <c r="AK685" s="31"/>
      <c r="AL685" s="31"/>
      <c r="AM685" s="31"/>
    </row>
    <row r="686" customFormat="false" ht="14.25" hidden="false" customHeight="true" outlineLevel="0" collapsed="false">
      <c r="A686" s="31"/>
      <c r="B686" s="189"/>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31"/>
      <c r="AD686" s="31"/>
      <c r="AE686" s="31"/>
      <c r="AF686" s="31"/>
      <c r="AG686" s="31"/>
      <c r="AH686" s="32"/>
      <c r="AI686" s="33"/>
      <c r="AJ686" s="34"/>
      <c r="AK686" s="31"/>
      <c r="AL686" s="31"/>
      <c r="AM686" s="31"/>
    </row>
    <row r="687" customFormat="false" ht="14.25" hidden="false" customHeight="true" outlineLevel="0" collapsed="false">
      <c r="A687" s="31"/>
      <c r="B687" s="189"/>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31"/>
      <c r="AD687" s="31"/>
      <c r="AE687" s="31"/>
      <c r="AF687" s="31"/>
      <c r="AG687" s="31"/>
      <c r="AH687" s="32"/>
      <c r="AI687" s="33"/>
      <c r="AJ687" s="34"/>
      <c r="AK687" s="31"/>
      <c r="AL687" s="31"/>
      <c r="AM687" s="31"/>
    </row>
    <row r="688" customFormat="false" ht="14.25" hidden="false" customHeight="true" outlineLevel="0" collapsed="false">
      <c r="A688" s="31"/>
      <c r="B688" s="189"/>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31"/>
      <c r="AD688" s="31"/>
      <c r="AE688" s="31"/>
      <c r="AF688" s="31"/>
      <c r="AG688" s="31"/>
      <c r="AH688" s="32"/>
      <c r="AI688" s="33"/>
      <c r="AJ688" s="34"/>
      <c r="AK688" s="31"/>
      <c r="AL688" s="31"/>
      <c r="AM688" s="31"/>
    </row>
    <row r="689" customFormat="false" ht="14.25" hidden="false" customHeight="true" outlineLevel="0" collapsed="false">
      <c r="A689" s="31"/>
      <c r="B689" s="189"/>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31"/>
      <c r="AD689" s="31"/>
      <c r="AE689" s="31"/>
      <c r="AF689" s="31"/>
      <c r="AG689" s="31"/>
      <c r="AH689" s="32"/>
      <c r="AI689" s="33"/>
      <c r="AJ689" s="34"/>
      <c r="AK689" s="31"/>
      <c r="AL689" s="31"/>
      <c r="AM689" s="31"/>
    </row>
    <row r="690" customFormat="false" ht="14.25" hidden="false" customHeight="true" outlineLevel="0" collapsed="false">
      <c r="A690" s="31"/>
      <c r="B690" s="189"/>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31"/>
      <c r="AD690" s="31"/>
      <c r="AE690" s="31"/>
      <c r="AF690" s="31"/>
      <c r="AG690" s="31"/>
      <c r="AH690" s="32"/>
      <c r="AI690" s="33"/>
      <c r="AJ690" s="34"/>
      <c r="AK690" s="31"/>
      <c r="AL690" s="31"/>
      <c r="AM690" s="31"/>
    </row>
    <row r="691" customFormat="false" ht="14.25" hidden="false" customHeight="true" outlineLevel="0" collapsed="false">
      <c r="A691" s="31"/>
      <c r="B691" s="189"/>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31"/>
      <c r="AD691" s="31"/>
      <c r="AE691" s="31"/>
      <c r="AF691" s="31"/>
      <c r="AG691" s="31"/>
      <c r="AH691" s="32"/>
      <c r="AI691" s="33"/>
      <c r="AJ691" s="34"/>
      <c r="AK691" s="31"/>
      <c r="AL691" s="31"/>
      <c r="AM691" s="31"/>
    </row>
    <row r="692" customFormat="false" ht="14.25" hidden="false" customHeight="true" outlineLevel="0" collapsed="false">
      <c r="A692" s="31"/>
      <c r="B692" s="189"/>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31"/>
      <c r="AD692" s="31"/>
      <c r="AE692" s="31"/>
      <c r="AF692" s="31"/>
      <c r="AG692" s="31"/>
      <c r="AH692" s="32"/>
      <c r="AI692" s="33"/>
      <c r="AJ692" s="34"/>
      <c r="AK692" s="31"/>
      <c r="AL692" s="31"/>
      <c r="AM692" s="31"/>
    </row>
    <row r="693" customFormat="false" ht="14.25" hidden="false" customHeight="true" outlineLevel="0" collapsed="false">
      <c r="A693" s="31"/>
      <c r="B693" s="189"/>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31"/>
      <c r="AD693" s="31"/>
      <c r="AE693" s="31"/>
      <c r="AF693" s="31"/>
      <c r="AG693" s="31"/>
      <c r="AH693" s="32"/>
      <c r="AI693" s="33"/>
      <c r="AJ693" s="34"/>
      <c r="AK693" s="31"/>
      <c r="AL693" s="31"/>
      <c r="AM693" s="31"/>
    </row>
    <row r="694" customFormat="false" ht="14.25" hidden="false" customHeight="true" outlineLevel="0" collapsed="false">
      <c r="A694" s="31"/>
      <c r="B694" s="189"/>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31"/>
      <c r="AD694" s="31"/>
      <c r="AE694" s="31"/>
      <c r="AF694" s="31"/>
      <c r="AG694" s="31"/>
      <c r="AH694" s="32"/>
      <c r="AI694" s="33"/>
      <c r="AJ694" s="34"/>
      <c r="AK694" s="31"/>
      <c r="AL694" s="31"/>
      <c r="AM694" s="31"/>
    </row>
    <row r="695" customFormat="false" ht="14.25" hidden="false" customHeight="true" outlineLevel="0" collapsed="false">
      <c r="A695" s="31"/>
      <c r="B695" s="189"/>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31"/>
      <c r="AD695" s="31"/>
      <c r="AE695" s="31"/>
      <c r="AF695" s="31"/>
      <c r="AG695" s="31"/>
      <c r="AH695" s="32"/>
      <c r="AI695" s="33"/>
      <c r="AJ695" s="34"/>
      <c r="AK695" s="31"/>
      <c r="AL695" s="31"/>
      <c r="AM695" s="31"/>
    </row>
    <row r="696" customFormat="false" ht="14.25" hidden="false" customHeight="true" outlineLevel="0" collapsed="false">
      <c r="A696" s="31"/>
      <c r="B696" s="189"/>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31"/>
      <c r="AD696" s="31"/>
      <c r="AE696" s="31"/>
      <c r="AF696" s="31"/>
      <c r="AG696" s="31"/>
      <c r="AH696" s="32"/>
      <c r="AI696" s="33"/>
      <c r="AJ696" s="34"/>
      <c r="AK696" s="31"/>
      <c r="AL696" s="31"/>
      <c r="AM696" s="31"/>
    </row>
    <row r="697" customFormat="false" ht="14.25" hidden="false" customHeight="true" outlineLevel="0" collapsed="false">
      <c r="A697" s="31"/>
      <c r="B697" s="189"/>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31"/>
      <c r="AD697" s="31"/>
      <c r="AE697" s="31"/>
      <c r="AF697" s="31"/>
      <c r="AG697" s="31"/>
      <c r="AH697" s="32"/>
      <c r="AI697" s="33"/>
      <c r="AJ697" s="34"/>
      <c r="AK697" s="31"/>
      <c r="AL697" s="31"/>
      <c r="AM697" s="31"/>
    </row>
    <row r="698" customFormat="false" ht="14.25" hidden="false" customHeight="true" outlineLevel="0" collapsed="false">
      <c r="A698" s="31"/>
      <c r="B698" s="189"/>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31"/>
      <c r="AD698" s="31"/>
      <c r="AE698" s="31"/>
      <c r="AF698" s="31"/>
      <c r="AG698" s="31"/>
      <c r="AH698" s="32"/>
      <c r="AI698" s="33"/>
      <c r="AJ698" s="34"/>
      <c r="AK698" s="31"/>
      <c r="AL698" s="31"/>
      <c r="AM698" s="31"/>
    </row>
    <row r="699" customFormat="false" ht="14.25" hidden="false" customHeight="true" outlineLevel="0" collapsed="false">
      <c r="A699" s="31"/>
      <c r="B699" s="189"/>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31"/>
      <c r="AD699" s="31"/>
      <c r="AE699" s="31"/>
      <c r="AF699" s="31"/>
      <c r="AG699" s="31"/>
      <c r="AH699" s="32"/>
      <c r="AI699" s="33"/>
      <c r="AJ699" s="34"/>
      <c r="AK699" s="31"/>
      <c r="AL699" s="31"/>
      <c r="AM699" s="31"/>
    </row>
    <row r="700" customFormat="false" ht="14.25" hidden="false" customHeight="true" outlineLevel="0" collapsed="false">
      <c r="A700" s="31"/>
      <c r="B700" s="189"/>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31"/>
      <c r="AD700" s="31"/>
      <c r="AE700" s="31"/>
      <c r="AF700" s="31"/>
      <c r="AG700" s="31"/>
      <c r="AH700" s="32"/>
      <c r="AI700" s="33"/>
      <c r="AJ700" s="34"/>
      <c r="AK700" s="31"/>
      <c r="AL700" s="31"/>
      <c r="AM700" s="31"/>
    </row>
    <row r="701" customFormat="false" ht="14.25" hidden="false" customHeight="true" outlineLevel="0" collapsed="false">
      <c r="A701" s="31"/>
      <c r="B701" s="189"/>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31"/>
      <c r="AD701" s="31"/>
      <c r="AE701" s="31"/>
      <c r="AF701" s="31"/>
      <c r="AG701" s="31"/>
      <c r="AH701" s="32"/>
      <c r="AI701" s="33"/>
      <c r="AJ701" s="34"/>
      <c r="AK701" s="31"/>
      <c r="AL701" s="31"/>
      <c r="AM701" s="31"/>
    </row>
    <row r="702" customFormat="false" ht="14.25" hidden="false" customHeight="true" outlineLevel="0" collapsed="false">
      <c r="A702" s="31"/>
      <c r="B702" s="189"/>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31"/>
      <c r="AD702" s="31"/>
      <c r="AE702" s="31"/>
      <c r="AF702" s="31"/>
      <c r="AG702" s="31"/>
      <c r="AH702" s="32"/>
      <c r="AI702" s="33"/>
      <c r="AJ702" s="34"/>
      <c r="AK702" s="31"/>
      <c r="AL702" s="31"/>
      <c r="AM702" s="31"/>
    </row>
    <row r="703" customFormat="false" ht="14.25" hidden="false" customHeight="true" outlineLevel="0" collapsed="false">
      <c r="A703" s="31"/>
      <c r="B703" s="189"/>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31"/>
      <c r="AD703" s="31"/>
      <c r="AE703" s="31"/>
      <c r="AF703" s="31"/>
      <c r="AG703" s="31"/>
      <c r="AH703" s="32"/>
      <c r="AI703" s="33"/>
      <c r="AJ703" s="34"/>
      <c r="AK703" s="31"/>
      <c r="AL703" s="31"/>
      <c r="AM703" s="31"/>
    </row>
    <row r="704" customFormat="false" ht="14.25" hidden="false" customHeight="true" outlineLevel="0" collapsed="false">
      <c r="A704" s="31"/>
      <c r="B704" s="189"/>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31"/>
      <c r="AD704" s="31"/>
      <c r="AE704" s="31"/>
      <c r="AF704" s="31"/>
      <c r="AG704" s="31"/>
      <c r="AH704" s="32"/>
      <c r="AI704" s="33"/>
      <c r="AJ704" s="34"/>
      <c r="AK704" s="31"/>
      <c r="AL704" s="31"/>
      <c r="AM704" s="31"/>
    </row>
    <row r="705" customFormat="false" ht="14.25" hidden="false" customHeight="true" outlineLevel="0" collapsed="false">
      <c r="A705" s="31"/>
      <c r="B705" s="189"/>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31"/>
      <c r="AD705" s="31"/>
      <c r="AE705" s="31"/>
      <c r="AF705" s="31"/>
      <c r="AG705" s="31"/>
      <c r="AH705" s="32"/>
      <c r="AI705" s="33"/>
      <c r="AJ705" s="34"/>
      <c r="AK705" s="31"/>
      <c r="AL705" s="31"/>
      <c r="AM705" s="31"/>
    </row>
    <row r="706" customFormat="false" ht="14.25" hidden="false" customHeight="true" outlineLevel="0" collapsed="false">
      <c r="A706" s="31"/>
      <c r="B706" s="189"/>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31"/>
      <c r="AD706" s="31"/>
      <c r="AE706" s="31"/>
      <c r="AF706" s="31"/>
      <c r="AG706" s="31"/>
      <c r="AH706" s="32"/>
      <c r="AI706" s="33"/>
      <c r="AJ706" s="34"/>
      <c r="AK706" s="31"/>
      <c r="AL706" s="31"/>
      <c r="AM706" s="31"/>
    </row>
    <row r="707" customFormat="false" ht="14.25" hidden="false" customHeight="true" outlineLevel="0" collapsed="false">
      <c r="A707" s="31"/>
      <c r="B707" s="189"/>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31"/>
      <c r="AD707" s="31"/>
      <c r="AE707" s="31"/>
      <c r="AF707" s="31"/>
      <c r="AG707" s="31"/>
      <c r="AH707" s="32"/>
      <c r="AI707" s="33"/>
      <c r="AJ707" s="34"/>
      <c r="AK707" s="31"/>
      <c r="AL707" s="31"/>
      <c r="AM707" s="31"/>
    </row>
    <row r="708" customFormat="false" ht="14.25" hidden="false" customHeight="true" outlineLevel="0" collapsed="false">
      <c r="A708" s="31"/>
      <c r="B708" s="189"/>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31"/>
      <c r="AD708" s="31"/>
      <c r="AE708" s="31"/>
      <c r="AF708" s="31"/>
      <c r="AG708" s="31"/>
      <c r="AH708" s="32"/>
      <c r="AI708" s="33"/>
      <c r="AJ708" s="34"/>
      <c r="AK708" s="31"/>
      <c r="AL708" s="31"/>
      <c r="AM708" s="31"/>
    </row>
    <row r="709" customFormat="false" ht="14.25" hidden="false" customHeight="true" outlineLevel="0" collapsed="false">
      <c r="A709" s="31"/>
      <c r="B709" s="189"/>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31"/>
      <c r="AD709" s="31"/>
      <c r="AE709" s="31"/>
      <c r="AF709" s="31"/>
      <c r="AG709" s="31"/>
      <c r="AH709" s="32"/>
      <c r="AI709" s="33"/>
      <c r="AJ709" s="34"/>
      <c r="AK709" s="31"/>
      <c r="AL709" s="31"/>
      <c r="AM709" s="31"/>
    </row>
    <row r="710" customFormat="false" ht="14.25" hidden="false" customHeight="true" outlineLevel="0" collapsed="false">
      <c r="A710" s="31"/>
      <c r="B710" s="189"/>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31"/>
      <c r="AD710" s="31"/>
      <c r="AE710" s="31"/>
      <c r="AF710" s="31"/>
      <c r="AG710" s="31"/>
      <c r="AH710" s="32"/>
      <c r="AI710" s="33"/>
      <c r="AJ710" s="34"/>
      <c r="AK710" s="31"/>
      <c r="AL710" s="31"/>
      <c r="AM710" s="31"/>
    </row>
    <row r="711" customFormat="false" ht="14.25" hidden="false" customHeight="true" outlineLevel="0" collapsed="false">
      <c r="A711" s="31"/>
      <c r="B711" s="189"/>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31"/>
      <c r="AD711" s="31"/>
      <c r="AE711" s="31"/>
      <c r="AF711" s="31"/>
      <c r="AG711" s="31"/>
      <c r="AH711" s="32"/>
      <c r="AI711" s="33"/>
      <c r="AJ711" s="34"/>
      <c r="AK711" s="31"/>
      <c r="AL711" s="31"/>
      <c r="AM711" s="31"/>
    </row>
    <row r="712" customFormat="false" ht="14.25" hidden="false" customHeight="true" outlineLevel="0" collapsed="false">
      <c r="A712" s="31"/>
      <c r="B712" s="189"/>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31"/>
      <c r="AD712" s="31"/>
      <c r="AE712" s="31"/>
      <c r="AF712" s="31"/>
      <c r="AG712" s="31"/>
      <c r="AH712" s="32"/>
      <c r="AI712" s="33"/>
      <c r="AJ712" s="34"/>
      <c r="AK712" s="31"/>
      <c r="AL712" s="31"/>
      <c r="AM712" s="31"/>
    </row>
    <row r="713" customFormat="false" ht="14.25" hidden="false" customHeight="true" outlineLevel="0" collapsed="false">
      <c r="A713" s="31"/>
      <c r="B713" s="189"/>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31"/>
      <c r="AD713" s="31"/>
      <c r="AE713" s="31"/>
      <c r="AF713" s="31"/>
      <c r="AG713" s="31"/>
      <c r="AH713" s="32"/>
      <c r="AI713" s="33"/>
      <c r="AJ713" s="34"/>
      <c r="AK713" s="31"/>
      <c r="AL713" s="31"/>
      <c r="AM713" s="31"/>
    </row>
    <row r="714" customFormat="false" ht="14.25" hidden="false" customHeight="true" outlineLevel="0" collapsed="false">
      <c r="A714" s="31"/>
      <c r="B714" s="189"/>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31"/>
      <c r="AD714" s="31"/>
      <c r="AE714" s="31"/>
      <c r="AF714" s="31"/>
      <c r="AG714" s="31"/>
      <c r="AH714" s="32"/>
      <c r="AI714" s="33"/>
      <c r="AJ714" s="34"/>
      <c r="AK714" s="31"/>
      <c r="AL714" s="31"/>
      <c r="AM714" s="31"/>
    </row>
    <row r="715" customFormat="false" ht="14.25" hidden="false" customHeight="true" outlineLevel="0" collapsed="false">
      <c r="A715" s="31"/>
      <c r="B715" s="189"/>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31"/>
      <c r="AD715" s="31"/>
      <c r="AE715" s="31"/>
      <c r="AF715" s="31"/>
      <c r="AG715" s="31"/>
      <c r="AH715" s="32"/>
      <c r="AI715" s="33"/>
      <c r="AJ715" s="34"/>
      <c r="AK715" s="31"/>
      <c r="AL715" s="31"/>
      <c r="AM715" s="31"/>
    </row>
    <row r="716" customFormat="false" ht="14.25" hidden="false" customHeight="true" outlineLevel="0" collapsed="false">
      <c r="A716" s="31"/>
      <c r="B716" s="189"/>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31"/>
      <c r="AD716" s="31"/>
      <c r="AE716" s="31"/>
      <c r="AF716" s="31"/>
      <c r="AG716" s="31"/>
      <c r="AH716" s="32"/>
      <c r="AI716" s="33"/>
      <c r="AJ716" s="34"/>
      <c r="AK716" s="31"/>
      <c r="AL716" s="31"/>
      <c r="AM716" s="31"/>
    </row>
    <row r="717" customFormat="false" ht="14.25" hidden="false" customHeight="true" outlineLevel="0" collapsed="false">
      <c r="A717" s="31"/>
      <c r="B717" s="189"/>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31"/>
      <c r="AD717" s="31"/>
      <c r="AE717" s="31"/>
      <c r="AF717" s="31"/>
      <c r="AG717" s="31"/>
      <c r="AH717" s="32"/>
      <c r="AI717" s="33"/>
      <c r="AJ717" s="34"/>
      <c r="AK717" s="31"/>
      <c r="AL717" s="31"/>
      <c r="AM717" s="31"/>
    </row>
    <row r="718" customFormat="false" ht="14.25" hidden="false" customHeight="true" outlineLevel="0" collapsed="false">
      <c r="A718" s="31"/>
      <c r="B718" s="189"/>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31"/>
      <c r="AD718" s="31"/>
      <c r="AE718" s="31"/>
      <c r="AF718" s="31"/>
      <c r="AG718" s="31"/>
      <c r="AH718" s="32"/>
      <c r="AI718" s="33"/>
      <c r="AJ718" s="34"/>
      <c r="AK718" s="31"/>
      <c r="AL718" s="31"/>
      <c r="AM718" s="31"/>
    </row>
    <row r="719" customFormat="false" ht="14.25" hidden="false" customHeight="true" outlineLevel="0" collapsed="false">
      <c r="A719" s="31"/>
      <c r="B719" s="189"/>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31"/>
      <c r="AD719" s="31"/>
      <c r="AE719" s="31"/>
      <c r="AF719" s="31"/>
      <c r="AG719" s="31"/>
      <c r="AH719" s="32"/>
      <c r="AI719" s="33"/>
      <c r="AJ719" s="34"/>
      <c r="AK719" s="31"/>
      <c r="AL719" s="31"/>
      <c r="AM719" s="31"/>
    </row>
    <row r="720" customFormat="false" ht="14.25" hidden="false" customHeight="true" outlineLevel="0" collapsed="false">
      <c r="A720" s="31"/>
      <c r="B720" s="189"/>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31"/>
      <c r="AD720" s="31"/>
      <c r="AE720" s="31"/>
      <c r="AF720" s="31"/>
      <c r="AG720" s="31"/>
      <c r="AH720" s="32"/>
      <c r="AI720" s="33"/>
      <c r="AJ720" s="34"/>
      <c r="AK720" s="31"/>
      <c r="AL720" s="31"/>
      <c r="AM720" s="31"/>
    </row>
    <row r="721" customFormat="false" ht="14.25" hidden="false" customHeight="true" outlineLevel="0" collapsed="false">
      <c r="A721" s="31"/>
      <c r="B721" s="189"/>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31"/>
      <c r="AD721" s="31"/>
      <c r="AE721" s="31"/>
      <c r="AF721" s="31"/>
      <c r="AG721" s="31"/>
      <c r="AH721" s="32"/>
      <c r="AI721" s="33"/>
      <c r="AJ721" s="34"/>
      <c r="AK721" s="31"/>
      <c r="AL721" s="31"/>
      <c r="AM721" s="31"/>
    </row>
    <row r="722" customFormat="false" ht="14.25" hidden="false" customHeight="true" outlineLevel="0" collapsed="false">
      <c r="A722" s="31"/>
      <c r="B722" s="189"/>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31"/>
      <c r="AD722" s="31"/>
      <c r="AE722" s="31"/>
      <c r="AF722" s="31"/>
      <c r="AG722" s="31"/>
      <c r="AH722" s="32"/>
      <c r="AI722" s="33"/>
      <c r="AJ722" s="34"/>
      <c r="AK722" s="31"/>
      <c r="AL722" s="31"/>
      <c r="AM722" s="31"/>
    </row>
    <row r="723" customFormat="false" ht="14.25" hidden="false" customHeight="true" outlineLevel="0" collapsed="false">
      <c r="A723" s="31"/>
      <c r="B723" s="189"/>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31"/>
      <c r="AD723" s="31"/>
      <c r="AE723" s="31"/>
      <c r="AF723" s="31"/>
      <c r="AG723" s="31"/>
      <c r="AH723" s="32"/>
      <c r="AI723" s="33"/>
      <c r="AJ723" s="34"/>
      <c r="AK723" s="31"/>
      <c r="AL723" s="31"/>
      <c r="AM723" s="31"/>
    </row>
    <row r="724" customFormat="false" ht="14.25" hidden="false" customHeight="true" outlineLevel="0" collapsed="false">
      <c r="A724" s="31"/>
      <c r="B724" s="189"/>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31"/>
      <c r="AD724" s="31"/>
      <c r="AE724" s="31"/>
      <c r="AF724" s="31"/>
      <c r="AG724" s="31"/>
      <c r="AH724" s="32"/>
      <c r="AI724" s="33"/>
      <c r="AJ724" s="34"/>
      <c r="AK724" s="31"/>
      <c r="AL724" s="31"/>
      <c r="AM724" s="31"/>
    </row>
    <row r="725" customFormat="false" ht="14.25" hidden="false" customHeight="true" outlineLevel="0" collapsed="false">
      <c r="A725" s="31"/>
      <c r="B725" s="189"/>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31"/>
      <c r="AD725" s="31"/>
      <c r="AE725" s="31"/>
      <c r="AF725" s="31"/>
      <c r="AG725" s="31"/>
      <c r="AH725" s="32"/>
      <c r="AI725" s="33"/>
      <c r="AJ725" s="34"/>
      <c r="AK725" s="31"/>
      <c r="AL725" s="31"/>
      <c r="AM725" s="31"/>
    </row>
    <row r="726" customFormat="false" ht="14.25" hidden="false" customHeight="true" outlineLevel="0" collapsed="false">
      <c r="A726" s="31"/>
      <c r="B726" s="189"/>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31"/>
      <c r="AD726" s="31"/>
      <c r="AE726" s="31"/>
      <c r="AF726" s="31"/>
      <c r="AG726" s="31"/>
      <c r="AH726" s="32"/>
      <c r="AI726" s="33"/>
      <c r="AJ726" s="34"/>
      <c r="AK726" s="31"/>
      <c r="AL726" s="31"/>
      <c r="AM726" s="31"/>
    </row>
    <row r="727" customFormat="false" ht="14.25" hidden="false" customHeight="true" outlineLevel="0" collapsed="false">
      <c r="A727" s="31"/>
      <c r="B727" s="189"/>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31"/>
      <c r="AD727" s="31"/>
      <c r="AE727" s="31"/>
      <c r="AF727" s="31"/>
      <c r="AG727" s="31"/>
      <c r="AH727" s="32"/>
      <c r="AI727" s="33"/>
      <c r="AJ727" s="34"/>
      <c r="AK727" s="31"/>
      <c r="AL727" s="31"/>
      <c r="AM727" s="31"/>
    </row>
    <row r="728" customFormat="false" ht="14.25" hidden="false" customHeight="true" outlineLevel="0" collapsed="false">
      <c r="A728" s="31"/>
      <c r="B728" s="189"/>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31"/>
      <c r="AD728" s="31"/>
      <c r="AE728" s="31"/>
      <c r="AF728" s="31"/>
      <c r="AG728" s="31"/>
      <c r="AH728" s="32"/>
      <c r="AI728" s="33"/>
      <c r="AJ728" s="34"/>
      <c r="AK728" s="31"/>
      <c r="AL728" s="31"/>
      <c r="AM728" s="31"/>
    </row>
    <row r="729" customFormat="false" ht="14.25" hidden="false" customHeight="true" outlineLevel="0" collapsed="false">
      <c r="A729" s="31"/>
      <c r="B729" s="189"/>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31"/>
      <c r="AD729" s="31"/>
      <c r="AE729" s="31"/>
      <c r="AF729" s="31"/>
      <c r="AG729" s="31"/>
      <c r="AH729" s="32"/>
      <c r="AI729" s="33"/>
      <c r="AJ729" s="34"/>
      <c r="AK729" s="31"/>
      <c r="AL729" s="31"/>
      <c r="AM729" s="31"/>
    </row>
    <row r="730" customFormat="false" ht="14.25" hidden="false" customHeight="true" outlineLevel="0" collapsed="false">
      <c r="A730" s="31"/>
      <c r="B730" s="189"/>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31"/>
      <c r="AD730" s="31"/>
      <c r="AE730" s="31"/>
      <c r="AF730" s="31"/>
      <c r="AG730" s="31"/>
      <c r="AH730" s="32"/>
      <c r="AI730" s="33"/>
      <c r="AJ730" s="34"/>
      <c r="AK730" s="31"/>
      <c r="AL730" s="31"/>
      <c r="AM730" s="31"/>
    </row>
    <row r="731" customFormat="false" ht="14.25" hidden="false" customHeight="true" outlineLevel="0" collapsed="false">
      <c r="A731" s="31"/>
      <c r="B731" s="189"/>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31"/>
      <c r="AD731" s="31"/>
      <c r="AE731" s="31"/>
      <c r="AF731" s="31"/>
      <c r="AG731" s="31"/>
      <c r="AH731" s="32"/>
      <c r="AI731" s="33"/>
      <c r="AJ731" s="34"/>
      <c r="AK731" s="31"/>
      <c r="AL731" s="31"/>
      <c r="AM731" s="31"/>
    </row>
    <row r="732" customFormat="false" ht="14.25" hidden="false" customHeight="true" outlineLevel="0" collapsed="false">
      <c r="A732" s="31"/>
      <c r="B732" s="189"/>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31"/>
      <c r="AD732" s="31"/>
      <c r="AE732" s="31"/>
      <c r="AF732" s="31"/>
      <c r="AG732" s="31"/>
      <c r="AH732" s="32"/>
      <c r="AI732" s="33"/>
      <c r="AJ732" s="34"/>
      <c r="AK732" s="31"/>
      <c r="AL732" s="31"/>
      <c r="AM732" s="31"/>
    </row>
    <row r="733" customFormat="false" ht="14.25" hidden="false" customHeight="true" outlineLevel="0" collapsed="false">
      <c r="A733" s="31"/>
      <c r="B733" s="189"/>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31"/>
      <c r="AD733" s="31"/>
      <c r="AE733" s="31"/>
      <c r="AF733" s="31"/>
      <c r="AG733" s="31"/>
      <c r="AH733" s="32"/>
      <c r="AI733" s="33"/>
      <c r="AJ733" s="34"/>
      <c r="AK733" s="31"/>
      <c r="AL733" s="31"/>
      <c r="AM733" s="31"/>
    </row>
    <row r="734" customFormat="false" ht="14.25" hidden="false" customHeight="true" outlineLevel="0" collapsed="false">
      <c r="A734" s="31"/>
      <c r="B734" s="189"/>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31"/>
      <c r="AD734" s="31"/>
      <c r="AE734" s="31"/>
      <c r="AF734" s="31"/>
      <c r="AG734" s="31"/>
      <c r="AH734" s="32"/>
      <c r="AI734" s="33"/>
      <c r="AJ734" s="34"/>
      <c r="AK734" s="31"/>
      <c r="AL734" s="31"/>
      <c r="AM734" s="31"/>
    </row>
    <row r="735" customFormat="false" ht="14.25" hidden="false" customHeight="true" outlineLevel="0" collapsed="false">
      <c r="A735" s="31"/>
      <c r="B735" s="189"/>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31"/>
      <c r="AD735" s="31"/>
      <c r="AE735" s="31"/>
      <c r="AF735" s="31"/>
      <c r="AG735" s="31"/>
      <c r="AH735" s="32"/>
      <c r="AI735" s="33"/>
      <c r="AJ735" s="34"/>
      <c r="AK735" s="31"/>
      <c r="AL735" s="31"/>
      <c r="AM735" s="31"/>
    </row>
    <row r="736" customFormat="false" ht="14.25" hidden="false" customHeight="true" outlineLevel="0" collapsed="false">
      <c r="A736" s="31"/>
      <c r="B736" s="189"/>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31"/>
      <c r="AD736" s="31"/>
      <c r="AE736" s="31"/>
      <c r="AF736" s="31"/>
      <c r="AG736" s="31"/>
      <c r="AH736" s="32"/>
      <c r="AI736" s="33"/>
      <c r="AJ736" s="34"/>
      <c r="AK736" s="31"/>
      <c r="AL736" s="31"/>
      <c r="AM736" s="31"/>
    </row>
    <row r="737" customFormat="false" ht="14.25" hidden="false" customHeight="true" outlineLevel="0" collapsed="false">
      <c r="A737" s="31"/>
      <c r="B737" s="189"/>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31"/>
      <c r="AD737" s="31"/>
      <c r="AE737" s="31"/>
      <c r="AF737" s="31"/>
      <c r="AG737" s="31"/>
      <c r="AH737" s="32"/>
      <c r="AI737" s="33"/>
      <c r="AJ737" s="34"/>
      <c r="AK737" s="31"/>
      <c r="AL737" s="31"/>
      <c r="AM737" s="31"/>
    </row>
    <row r="738" customFormat="false" ht="14.25" hidden="false" customHeight="true" outlineLevel="0" collapsed="false">
      <c r="A738" s="31"/>
      <c r="B738" s="189"/>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31"/>
      <c r="AD738" s="31"/>
      <c r="AE738" s="31"/>
      <c r="AF738" s="31"/>
      <c r="AG738" s="31"/>
      <c r="AH738" s="32"/>
      <c r="AI738" s="33"/>
      <c r="AJ738" s="34"/>
      <c r="AK738" s="31"/>
      <c r="AL738" s="31"/>
      <c r="AM738" s="31"/>
    </row>
    <row r="739" customFormat="false" ht="14.25" hidden="false" customHeight="true" outlineLevel="0" collapsed="false">
      <c r="A739" s="31"/>
      <c r="B739" s="189"/>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31"/>
      <c r="AD739" s="31"/>
      <c r="AE739" s="31"/>
      <c r="AF739" s="31"/>
      <c r="AG739" s="31"/>
      <c r="AH739" s="32"/>
      <c r="AI739" s="33"/>
      <c r="AJ739" s="34"/>
      <c r="AK739" s="31"/>
      <c r="AL739" s="31"/>
      <c r="AM739" s="31"/>
    </row>
    <row r="740" customFormat="false" ht="14.25" hidden="false" customHeight="true" outlineLevel="0" collapsed="false">
      <c r="A740" s="31"/>
      <c r="B740" s="189"/>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31"/>
      <c r="AD740" s="31"/>
      <c r="AE740" s="31"/>
      <c r="AF740" s="31"/>
      <c r="AG740" s="31"/>
      <c r="AH740" s="32"/>
      <c r="AI740" s="33"/>
      <c r="AJ740" s="34"/>
      <c r="AK740" s="31"/>
      <c r="AL740" s="31"/>
      <c r="AM740" s="31"/>
    </row>
    <row r="741" customFormat="false" ht="14.25" hidden="false" customHeight="true" outlineLevel="0" collapsed="false">
      <c r="A741" s="31"/>
      <c r="B741" s="189"/>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31"/>
      <c r="AD741" s="31"/>
      <c r="AE741" s="31"/>
      <c r="AF741" s="31"/>
      <c r="AG741" s="31"/>
      <c r="AH741" s="32"/>
      <c r="AI741" s="33"/>
      <c r="AJ741" s="34"/>
      <c r="AK741" s="31"/>
      <c r="AL741" s="31"/>
      <c r="AM741" s="31"/>
    </row>
    <row r="742" customFormat="false" ht="14.25" hidden="false" customHeight="true" outlineLevel="0" collapsed="false">
      <c r="A742" s="31"/>
      <c r="B742" s="189"/>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31"/>
      <c r="AD742" s="31"/>
      <c r="AE742" s="31"/>
      <c r="AF742" s="31"/>
      <c r="AG742" s="31"/>
      <c r="AH742" s="32"/>
      <c r="AI742" s="33"/>
      <c r="AJ742" s="34"/>
      <c r="AK742" s="31"/>
      <c r="AL742" s="31"/>
      <c r="AM742" s="31"/>
    </row>
    <row r="743" customFormat="false" ht="14.25" hidden="false" customHeight="true" outlineLevel="0" collapsed="false">
      <c r="A743" s="31"/>
      <c r="B743" s="189"/>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31"/>
      <c r="AD743" s="31"/>
      <c r="AE743" s="31"/>
      <c r="AF743" s="31"/>
      <c r="AG743" s="31"/>
      <c r="AH743" s="32"/>
      <c r="AI743" s="33"/>
      <c r="AJ743" s="34"/>
      <c r="AK743" s="31"/>
      <c r="AL743" s="31"/>
      <c r="AM743" s="31"/>
    </row>
    <row r="744" customFormat="false" ht="14.25" hidden="false" customHeight="true" outlineLevel="0" collapsed="false">
      <c r="A744" s="31"/>
      <c r="B744" s="189"/>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31"/>
      <c r="AD744" s="31"/>
      <c r="AE744" s="31"/>
      <c r="AF744" s="31"/>
      <c r="AG744" s="31"/>
      <c r="AH744" s="32"/>
      <c r="AI744" s="33"/>
      <c r="AJ744" s="34"/>
      <c r="AK744" s="31"/>
      <c r="AL744" s="31"/>
      <c r="AM744" s="31"/>
    </row>
    <row r="745" customFormat="false" ht="14.25" hidden="false" customHeight="true" outlineLevel="0" collapsed="false">
      <c r="A745" s="31"/>
      <c r="B745" s="189"/>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31"/>
      <c r="AD745" s="31"/>
      <c r="AE745" s="31"/>
      <c r="AF745" s="31"/>
      <c r="AG745" s="31"/>
      <c r="AH745" s="32"/>
      <c r="AI745" s="33"/>
      <c r="AJ745" s="34"/>
      <c r="AK745" s="31"/>
      <c r="AL745" s="31"/>
      <c r="AM745" s="31"/>
    </row>
    <row r="746" customFormat="false" ht="14.25" hidden="false" customHeight="true" outlineLevel="0" collapsed="false">
      <c r="A746" s="31"/>
      <c r="B746" s="189"/>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31"/>
      <c r="AD746" s="31"/>
      <c r="AE746" s="31"/>
      <c r="AF746" s="31"/>
      <c r="AG746" s="31"/>
      <c r="AH746" s="32"/>
      <c r="AI746" s="33"/>
      <c r="AJ746" s="34"/>
      <c r="AK746" s="31"/>
      <c r="AL746" s="31"/>
      <c r="AM746" s="31"/>
    </row>
    <row r="747" customFormat="false" ht="14.25" hidden="false" customHeight="true" outlineLevel="0" collapsed="false">
      <c r="A747" s="31"/>
      <c r="B747" s="189"/>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31"/>
      <c r="AD747" s="31"/>
      <c r="AE747" s="31"/>
      <c r="AF747" s="31"/>
      <c r="AG747" s="31"/>
      <c r="AH747" s="32"/>
      <c r="AI747" s="33"/>
      <c r="AJ747" s="34"/>
      <c r="AK747" s="31"/>
      <c r="AL747" s="31"/>
      <c r="AM747" s="31"/>
    </row>
    <row r="748" customFormat="false" ht="14.25" hidden="false" customHeight="true" outlineLevel="0" collapsed="false">
      <c r="A748" s="31"/>
      <c r="B748" s="189"/>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31"/>
      <c r="AD748" s="31"/>
      <c r="AE748" s="31"/>
      <c r="AF748" s="31"/>
      <c r="AG748" s="31"/>
      <c r="AH748" s="32"/>
      <c r="AI748" s="33"/>
      <c r="AJ748" s="34"/>
      <c r="AK748" s="31"/>
      <c r="AL748" s="31"/>
      <c r="AM748" s="31"/>
    </row>
    <row r="749" customFormat="false" ht="14.25" hidden="false" customHeight="true" outlineLevel="0" collapsed="false">
      <c r="A749" s="31"/>
      <c r="B749" s="189"/>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31"/>
      <c r="AD749" s="31"/>
      <c r="AE749" s="31"/>
      <c r="AF749" s="31"/>
      <c r="AG749" s="31"/>
      <c r="AH749" s="32"/>
      <c r="AI749" s="33"/>
      <c r="AJ749" s="34"/>
      <c r="AK749" s="31"/>
      <c r="AL749" s="31"/>
      <c r="AM749" s="31"/>
    </row>
    <row r="750" customFormat="false" ht="14.25" hidden="false" customHeight="true" outlineLevel="0" collapsed="false">
      <c r="A750" s="31"/>
      <c r="B750" s="189"/>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31"/>
      <c r="AD750" s="31"/>
      <c r="AE750" s="31"/>
      <c r="AF750" s="31"/>
      <c r="AG750" s="31"/>
      <c r="AH750" s="32"/>
      <c r="AI750" s="33"/>
      <c r="AJ750" s="34"/>
      <c r="AK750" s="31"/>
      <c r="AL750" s="31"/>
      <c r="AM750" s="31"/>
    </row>
    <row r="751" customFormat="false" ht="14.25" hidden="false" customHeight="true" outlineLevel="0" collapsed="false">
      <c r="A751" s="31"/>
      <c r="B751" s="189"/>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31"/>
      <c r="AD751" s="31"/>
      <c r="AE751" s="31"/>
      <c r="AF751" s="31"/>
      <c r="AG751" s="31"/>
      <c r="AH751" s="32"/>
      <c r="AI751" s="33"/>
      <c r="AJ751" s="34"/>
      <c r="AK751" s="31"/>
      <c r="AL751" s="31"/>
      <c r="AM751" s="31"/>
    </row>
    <row r="752" customFormat="false" ht="14.25" hidden="false" customHeight="true" outlineLevel="0" collapsed="false">
      <c r="A752" s="31"/>
      <c r="B752" s="189"/>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31"/>
      <c r="AD752" s="31"/>
      <c r="AE752" s="31"/>
      <c r="AF752" s="31"/>
      <c r="AG752" s="31"/>
      <c r="AH752" s="32"/>
      <c r="AI752" s="33"/>
      <c r="AJ752" s="34"/>
      <c r="AK752" s="31"/>
      <c r="AL752" s="31"/>
      <c r="AM752" s="31"/>
    </row>
    <row r="753" customFormat="false" ht="14.25" hidden="false" customHeight="true" outlineLevel="0" collapsed="false">
      <c r="A753" s="31"/>
      <c r="B753" s="189"/>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31"/>
      <c r="AD753" s="31"/>
      <c r="AE753" s="31"/>
      <c r="AF753" s="31"/>
      <c r="AG753" s="31"/>
      <c r="AH753" s="32"/>
      <c r="AI753" s="33"/>
      <c r="AJ753" s="34"/>
      <c r="AK753" s="31"/>
      <c r="AL753" s="31"/>
      <c r="AM753" s="31"/>
    </row>
    <row r="754" customFormat="false" ht="14.25" hidden="false" customHeight="true" outlineLevel="0" collapsed="false">
      <c r="A754" s="31"/>
      <c r="B754" s="189"/>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31"/>
      <c r="AD754" s="31"/>
      <c r="AE754" s="31"/>
      <c r="AF754" s="31"/>
      <c r="AG754" s="31"/>
      <c r="AH754" s="32"/>
      <c r="AI754" s="33"/>
      <c r="AJ754" s="34"/>
      <c r="AK754" s="31"/>
      <c r="AL754" s="31"/>
      <c r="AM754" s="31"/>
    </row>
    <row r="755" customFormat="false" ht="14.25" hidden="false" customHeight="true" outlineLevel="0" collapsed="false">
      <c r="A755" s="31"/>
      <c r="B755" s="189"/>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31"/>
      <c r="AD755" s="31"/>
      <c r="AE755" s="31"/>
      <c r="AF755" s="31"/>
      <c r="AG755" s="31"/>
      <c r="AH755" s="32"/>
      <c r="AI755" s="33"/>
      <c r="AJ755" s="34"/>
      <c r="AK755" s="31"/>
      <c r="AL755" s="31"/>
      <c r="AM755" s="31"/>
    </row>
    <row r="756" customFormat="false" ht="14.25" hidden="false" customHeight="true" outlineLevel="0" collapsed="false">
      <c r="A756" s="31"/>
      <c r="B756" s="189"/>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31"/>
      <c r="AD756" s="31"/>
      <c r="AE756" s="31"/>
      <c r="AF756" s="31"/>
      <c r="AG756" s="31"/>
      <c r="AH756" s="32"/>
      <c r="AI756" s="33"/>
      <c r="AJ756" s="34"/>
      <c r="AK756" s="31"/>
      <c r="AL756" s="31"/>
      <c r="AM756" s="31"/>
    </row>
    <row r="757" customFormat="false" ht="14.25" hidden="false" customHeight="true" outlineLevel="0" collapsed="false">
      <c r="A757" s="31"/>
      <c r="B757" s="189"/>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31"/>
      <c r="AD757" s="31"/>
      <c r="AE757" s="31"/>
      <c r="AF757" s="31"/>
      <c r="AG757" s="31"/>
      <c r="AH757" s="32"/>
      <c r="AI757" s="33"/>
      <c r="AJ757" s="34"/>
      <c r="AK757" s="31"/>
      <c r="AL757" s="31"/>
      <c r="AM757" s="31"/>
    </row>
    <row r="758" customFormat="false" ht="14.25" hidden="false" customHeight="true" outlineLevel="0" collapsed="false">
      <c r="A758" s="31"/>
      <c r="B758" s="189"/>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31"/>
      <c r="AD758" s="31"/>
      <c r="AE758" s="31"/>
      <c r="AF758" s="31"/>
      <c r="AG758" s="31"/>
      <c r="AH758" s="32"/>
      <c r="AI758" s="33"/>
      <c r="AJ758" s="34"/>
      <c r="AK758" s="31"/>
      <c r="AL758" s="31"/>
      <c r="AM758" s="31"/>
    </row>
    <row r="759" customFormat="false" ht="14.25" hidden="false" customHeight="true" outlineLevel="0" collapsed="false">
      <c r="A759" s="31"/>
      <c r="B759" s="189"/>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31"/>
      <c r="AD759" s="31"/>
      <c r="AE759" s="31"/>
      <c r="AF759" s="31"/>
      <c r="AG759" s="31"/>
      <c r="AH759" s="32"/>
      <c r="AI759" s="33"/>
      <c r="AJ759" s="34"/>
      <c r="AK759" s="31"/>
      <c r="AL759" s="31"/>
      <c r="AM759" s="31"/>
    </row>
    <row r="760" customFormat="false" ht="14.25" hidden="false" customHeight="true" outlineLevel="0" collapsed="false">
      <c r="A760" s="31"/>
      <c r="B760" s="189"/>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31"/>
      <c r="AD760" s="31"/>
      <c r="AE760" s="31"/>
      <c r="AF760" s="31"/>
      <c r="AG760" s="31"/>
      <c r="AH760" s="32"/>
      <c r="AI760" s="33"/>
      <c r="AJ760" s="34"/>
      <c r="AK760" s="31"/>
      <c r="AL760" s="31"/>
      <c r="AM760" s="31"/>
    </row>
    <row r="761" customFormat="false" ht="14.25" hidden="false" customHeight="true" outlineLevel="0" collapsed="false">
      <c r="A761" s="31"/>
      <c r="B761" s="189"/>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31"/>
      <c r="AD761" s="31"/>
      <c r="AE761" s="31"/>
      <c r="AF761" s="31"/>
      <c r="AG761" s="31"/>
      <c r="AH761" s="32"/>
      <c r="AI761" s="33"/>
      <c r="AJ761" s="34"/>
      <c r="AK761" s="31"/>
      <c r="AL761" s="31"/>
      <c r="AM761" s="31"/>
    </row>
    <row r="762" customFormat="false" ht="14.25" hidden="false" customHeight="true" outlineLevel="0" collapsed="false">
      <c r="A762" s="31"/>
      <c r="B762" s="189"/>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31"/>
      <c r="AD762" s="31"/>
      <c r="AE762" s="31"/>
      <c r="AF762" s="31"/>
      <c r="AG762" s="31"/>
      <c r="AH762" s="32"/>
      <c r="AI762" s="33"/>
      <c r="AJ762" s="34"/>
      <c r="AK762" s="31"/>
      <c r="AL762" s="31"/>
      <c r="AM762" s="31"/>
    </row>
    <row r="763" customFormat="false" ht="14.25" hidden="false" customHeight="true" outlineLevel="0" collapsed="false">
      <c r="A763" s="31"/>
      <c r="B763" s="189"/>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31"/>
      <c r="AD763" s="31"/>
      <c r="AE763" s="31"/>
      <c r="AF763" s="31"/>
      <c r="AG763" s="31"/>
      <c r="AH763" s="32"/>
      <c r="AI763" s="33"/>
      <c r="AJ763" s="34"/>
      <c r="AK763" s="31"/>
      <c r="AL763" s="31"/>
      <c r="AM763" s="31"/>
    </row>
    <row r="764" customFormat="false" ht="14.25" hidden="false" customHeight="true" outlineLevel="0" collapsed="false">
      <c r="A764" s="31"/>
      <c r="B764" s="189"/>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31"/>
      <c r="AD764" s="31"/>
      <c r="AE764" s="31"/>
      <c r="AF764" s="31"/>
      <c r="AG764" s="31"/>
      <c r="AH764" s="32"/>
      <c r="AI764" s="33"/>
      <c r="AJ764" s="34"/>
      <c r="AK764" s="31"/>
      <c r="AL764" s="31"/>
      <c r="AM764" s="31"/>
    </row>
    <row r="765" customFormat="false" ht="14.25" hidden="false" customHeight="true" outlineLevel="0" collapsed="false">
      <c r="A765" s="31"/>
      <c r="B765" s="189"/>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31"/>
      <c r="AD765" s="31"/>
      <c r="AE765" s="31"/>
      <c r="AF765" s="31"/>
      <c r="AG765" s="31"/>
      <c r="AH765" s="32"/>
      <c r="AI765" s="33"/>
      <c r="AJ765" s="34"/>
      <c r="AK765" s="31"/>
      <c r="AL765" s="31"/>
      <c r="AM765" s="31"/>
    </row>
    <row r="766" customFormat="false" ht="14.25" hidden="false" customHeight="true" outlineLevel="0" collapsed="false">
      <c r="A766" s="31"/>
      <c r="B766" s="189"/>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31"/>
      <c r="AD766" s="31"/>
      <c r="AE766" s="31"/>
      <c r="AF766" s="31"/>
      <c r="AG766" s="31"/>
      <c r="AH766" s="32"/>
      <c r="AI766" s="33"/>
      <c r="AJ766" s="34"/>
      <c r="AK766" s="31"/>
      <c r="AL766" s="31"/>
      <c r="AM766" s="31"/>
    </row>
    <row r="767" customFormat="false" ht="14.25" hidden="false" customHeight="true" outlineLevel="0" collapsed="false">
      <c r="A767" s="31"/>
      <c r="B767" s="189"/>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31"/>
      <c r="AD767" s="31"/>
      <c r="AE767" s="31"/>
      <c r="AF767" s="31"/>
      <c r="AG767" s="31"/>
      <c r="AH767" s="32"/>
      <c r="AI767" s="33"/>
      <c r="AJ767" s="34"/>
      <c r="AK767" s="31"/>
      <c r="AL767" s="31"/>
      <c r="AM767" s="31"/>
    </row>
    <row r="768" customFormat="false" ht="14.25" hidden="false" customHeight="true" outlineLevel="0" collapsed="false">
      <c r="A768" s="31"/>
      <c r="B768" s="189"/>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31"/>
      <c r="AD768" s="31"/>
      <c r="AE768" s="31"/>
      <c r="AF768" s="31"/>
      <c r="AG768" s="31"/>
      <c r="AH768" s="32"/>
      <c r="AI768" s="33"/>
      <c r="AJ768" s="34"/>
      <c r="AK768" s="31"/>
      <c r="AL768" s="31"/>
      <c r="AM768" s="31"/>
    </row>
    <row r="769" customFormat="false" ht="14.25" hidden="false" customHeight="true" outlineLevel="0" collapsed="false">
      <c r="A769" s="31"/>
      <c r="B769" s="189"/>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31"/>
      <c r="AD769" s="31"/>
      <c r="AE769" s="31"/>
      <c r="AF769" s="31"/>
      <c r="AG769" s="31"/>
      <c r="AH769" s="32"/>
      <c r="AI769" s="33"/>
      <c r="AJ769" s="34"/>
      <c r="AK769" s="31"/>
      <c r="AL769" s="31"/>
      <c r="AM769" s="31"/>
    </row>
    <row r="770" customFormat="false" ht="14.25" hidden="false" customHeight="true" outlineLevel="0" collapsed="false">
      <c r="A770" s="31"/>
      <c r="B770" s="189"/>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31"/>
      <c r="AD770" s="31"/>
      <c r="AE770" s="31"/>
      <c r="AF770" s="31"/>
      <c r="AG770" s="31"/>
      <c r="AH770" s="32"/>
      <c r="AI770" s="33"/>
      <c r="AJ770" s="34"/>
      <c r="AK770" s="31"/>
      <c r="AL770" s="31"/>
      <c r="AM770" s="31"/>
    </row>
    <row r="771" customFormat="false" ht="14.25" hidden="false" customHeight="true" outlineLevel="0" collapsed="false">
      <c r="A771" s="31"/>
      <c r="B771" s="189"/>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31"/>
      <c r="AD771" s="31"/>
      <c r="AE771" s="31"/>
      <c r="AF771" s="31"/>
      <c r="AG771" s="31"/>
      <c r="AH771" s="32"/>
      <c r="AI771" s="33"/>
      <c r="AJ771" s="34"/>
      <c r="AK771" s="31"/>
      <c r="AL771" s="31"/>
      <c r="AM771" s="31"/>
    </row>
    <row r="772" customFormat="false" ht="14.25" hidden="false" customHeight="true" outlineLevel="0" collapsed="false">
      <c r="A772" s="31"/>
      <c r="B772" s="189"/>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31"/>
      <c r="AD772" s="31"/>
      <c r="AE772" s="31"/>
      <c r="AF772" s="31"/>
      <c r="AG772" s="31"/>
      <c r="AH772" s="32"/>
      <c r="AI772" s="33"/>
      <c r="AJ772" s="34"/>
      <c r="AK772" s="31"/>
      <c r="AL772" s="31"/>
      <c r="AM772" s="31"/>
    </row>
    <row r="773" customFormat="false" ht="14.25" hidden="false" customHeight="true" outlineLevel="0" collapsed="false">
      <c r="A773" s="31"/>
      <c r="B773" s="189"/>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31"/>
      <c r="AD773" s="31"/>
      <c r="AE773" s="31"/>
      <c r="AF773" s="31"/>
      <c r="AG773" s="31"/>
      <c r="AH773" s="32"/>
      <c r="AI773" s="33"/>
      <c r="AJ773" s="34"/>
      <c r="AK773" s="31"/>
      <c r="AL773" s="31"/>
      <c r="AM773" s="31"/>
    </row>
    <row r="774" customFormat="false" ht="14.25" hidden="false" customHeight="true" outlineLevel="0" collapsed="false">
      <c r="A774" s="31"/>
      <c r="B774" s="189"/>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31"/>
      <c r="AD774" s="31"/>
      <c r="AE774" s="31"/>
      <c r="AF774" s="31"/>
      <c r="AG774" s="31"/>
      <c r="AH774" s="32"/>
      <c r="AI774" s="33"/>
      <c r="AJ774" s="34"/>
      <c r="AK774" s="31"/>
      <c r="AL774" s="31"/>
      <c r="AM774" s="31"/>
    </row>
    <row r="775" customFormat="false" ht="14.25" hidden="false" customHeight="true" outlineLevel="0" collapsed="false">
      <c r="A775" s="31"/>
      <c r="B775" s="189"/>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31"/>
      <c r="AD775" s="31"/>
      <c r="AE775" s="31"/>
      <c r="AF775" s="31"/>
      <c r="AG775" s="31"/>
      <c r="AH775" s="32"/>
      <c r="AI775" s="33"/>
      <c r="AJ775" s="34"/>
      <c r="AK775" s="31"/>
      <c r="AL775" s="31"/>
      <c r="AM775" s="31"/>
    </row>
    <row r="776" customFormat="false" ht="14.25" hidden="false" customHeight="true" outlineLevel="0" collapsed="false">
      <c r="A776" s="31"/>
      <c r="B776" s="189"/>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31"/>
      <c r="AD776" s="31"/>
      <c r="AE776" s="31"/>
      <c r="AF776" s="31"/>
      <c r="AG776" s="31"/>
      <c r="AH776" s="32"/>
      <c r="AI776" s="33"/>
      <c r="AJ776" s="34"/>
      <c r="AK776" s="31"/>
      <c r="AL776" s="31"/>
      <c r="AM776" s="31"/>
    </row>
    <row r="777" customFormat="false" ht="14.25" hidden="false" customHeight="true" outlineLevel="0" collapsed="false">
      <c r="A777" s="31"/>
      <c r="B777" s="189"/>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31"/>
      <c r="AD777" s="31"/>
      <c r="AE777" s="31"/>
      <c r="AF777" s="31"/>
      <c r="AG777" s="31"/>
      <c r="AH777" s="32"/>
      <c r="AI777" s="33"/>
      <c r="AJ777" s="34"/>
      <c r="AK777" s="31"/>
      <c r="AL777" s="31"/>
      <c r="AM777" s="31"/>
    </row>
    <row r="778" customFormat="false" ht="14.25" hidden="false" customHeight="true" outlineLevel="0" collapsed="false">
      <c r="A778" s="31"/>
      <c r="B778" s="189"/>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31"/>
      <c r="AD778" s="31"/>
      <c r="AE778" s="31"/>
      <c r="AF778" s="31"/>
      <c r="AG778" s="31"/>
      <c r="AH778" s="32"/>
      <c r="AI778" s="33"/>
      <c r="AJ778" s="34"/>
      <c r="AK778" s="31"/>
      <c r="AL778" s="31"/>
      <c r="AM778" s="31"/>
    </row>
    <row r="779" customFormat="false" ht="14.25" hidden="false" customHeight="true" outlineLevel="0" collapsed="false">
      <c r="A779" s="31"/>
      <c r="B779" s="189"/>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31"/>
      <c r="AD779" s="31"/>
      <c r="AE779" s="31"/>
      <c r="AF779" s="31"/>
      <c r="AG779" s="31"/>
      <c r="AH779" s="32"/>
      <c r="AI779" s="33"/>
      <c r="AJ779" s="34"/>
      <c r="AK779" s="31"/>
      <c r="AL779" s="31"/>
      <c r="AM779" s="31"/>
    </row>
    <row r="780" customFormat="false" ht="14.25" hidden="false" customHeight="true" outlineLevel="0" collapsed="false">
      <c r="A780" s="31"/>
      <c r="B780" s="189"/>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31"/>
      <c r="AD780" s="31"/>
      <c r="AE780" s="31"/>
      <c r="AF780" s="31"/>
      <c r="AG780" s="31"/>
      <c r="AH780" s="32"/>
      <c r="AI780" s="33"/>
      <c r="AJ780" s="34"/>
      <c r="AK780" s="31"/>
      <c r="AL780" s="31"/>
      <c r="AM780" s="31"/>
    </row>
    <row r="781" customFormat="false" ht="14.25" hidden="false" customHeight="true" outlineLevel="0" collapsed="false">
      <c r="A781" s="31"/>
      <c r="B781" s="189"/>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31"/>
      <c r="AD781" s="31"/>
      <c r="AE781" s="31"/>
      <c r="AF781" s="31"/>
      <c r="AG781" s="31"/>
      <c r="AH781" s="32"/>
      <c r="AI781" s="33"/>
      <c r="AJ781" s="34"/>
      <c r="AK781" s="31"/>
      <c r="AL781" s="31"/>
      <c r="AM781" s="31"/>
    </row>
    <row r="782" customFormat="false" ht="14.25" hidden="false" customHeight="true" outlineLevel="0" collapsed="false">
      <c r="A782" s="31"/>
      <c r="B782" s="189"/>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31"/>
      <c r="AD782" s="31"/>
      <c r="AE782" s="31"/>
      <c r="AF782" s="31"/>
      <c r="AG782" s="31"/>
      <c r="AH782" s="32"/>
      <c r="AI782" s="33"/>
      <c r="AJ782" s="34"/>
      <c r="AK782" s="31"/>
      <c r="AL782" s="31"/>
      <c r="AM782" s="31"/>
    </row>
    <row r="783" customFormat="false" ht="14.25" hidden="false" customHeight="true" outlineLevel="0" collapsed="false">
      <c r="A783" s="31"/>
      <c r="B783" s="189"/>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31"/>
      <c r="AD783" s="31"/>
      <c r="AE783" s="31"/>
      <c r="AF783" s="31"/>
      <c r="AG783" s="31"/>
      <c r="AH783" s="32"/>
      <c r="AI783" s="33"/>
      <c r="AJ783" s="34"/>
      <c r="AK783" s="31"/>
      <c r="AL783" s="31"/>
      <c r="AM783" s="31"/>
    </row>
    <row r="784" customFormat="false" ht="14.25" hidden="false" customHeight="true" outlineLevel="0" collapsed="false">
      <c r="A784" s="31"/>
      <c r="B784" s="189"/>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31"/>
      <c r="AD784" s="31"/>
      <c r="AE784" s="31"/>
      <c r="AF784" s="31"/>
      <c r="AG784" s="31"/>
      <c r="AH784" s="32"/>
      <c r="AI784" s="33"/>
      <c r="AJ784" s="34"/>
      <c r="AK784" s="31"/>
      <c r="AL784" s="31"/>
      <c r="AM784" s="31"/>
    </row>
    <row r="785" customFormat="false" ht="14.25" hidden="false" customHeight="true" outlineLevel="0" collapsed="false">
      <c r="A785" s="31"/>
      <c r="B785" s="189"/>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31"/>
      <c r="AD785" s="31"/>
      <c r="AE785" s="31"/>
      <c r="AF785" s="31"/>
      <c r="AG785" s="31"/>
      <c r="AH785" s="32"/>
      <c r="AI785" s="33"/>
      <c r="AJ785" s="34"/>
      <c r="AK785" s="31"/>
      <c r="AL785" s="31"/>
      <c r="AM785" s="31"/>
    </row>
    <row r="786" customFormat="false" ht="14.25" hidden="false" customHeight="true" outlineLevel="0" collapsed="false">
      <c r="A786" s="31"/>
      <c r="B786" s="189"/>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31"/>
      <c r="AD786" s="31"/>
      <c r="AE786" s="31"/>
      <c r="AF786" s="31"/>
      <c r="AG786" s="31"/>
      <c r="AH786" s="32"/>
      <c r="AI786" s="33"/>
      <c r="AJ786" s="34"/>
      <c r="AK786" s="31"/>
      <c r="AL786" s="31"/>
      <c r="AM786" s="31"/>
    </row>
    <row r="787" customFormat="false" ht="14.25" hidden="false" customHeight="true" outlineLevel="0" collapsed="false">
      <c r="A787" s="31"/>
      <c r="B787" s="189"/>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31"/>
      <c r="AD787" s="31"/>
      <c r="AE787" s="31"/>
      <c r="AF787" s="31"/>
      <c r="AG787" s="31"/>
      <c r="AH787" s="32"/>
      <c r="AI787" s="33"/>
      <c r="AJ787" s="34"/>
      <c r="AK787" s="31"/>
      <c r="AL787" s="31"/>
      <c r="AM787" s="31"/>
    </row>
    <row r="788" customFormat="false" ht="14.25" hidden="false" customHeight="true" outlineLevel="0" collapsed="false">
      <c r="A788" s="31"/>
      <c r="B788" s="189"/>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31"/>
      <c r="AD788" s="31"/>
      <c r="AE788" s="31"/>
      <c r="AF788" s="31"/>
      <c r="AG788" s="31"/>
      <c r="AH788" s="32"/>
      <c r="AI788" s="33"/>
      <c r="AJ788" s="34"/>
      <c r="AK788" s="31"/>
      <c r="AL788" s="31"/>
      <c r="AM788" s="31"/>
    </row>
    <row r="789" customFormat="false" ht="14.25" hidden="false" customHeight="true" outlineLevel="0" collapsed="false">
      <c r="A789" s="31"/>
      <c r="B789" s="189"/>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31"/>
      <c r="AD789" s="31"/>
      <c r="AE789" s="31"/>
      <c r="AF789" s="31"/>
      <c r="AG789" s="31"/>
      <c r="AH789" s="32"/>
      <c r="AI789" s="33"/>
      <c r="AJ789" s="34"/>
      <c r="AK789" s="31"/>
      <c r="AL789" s="31"/>
      <c r="AM789" s="31"/>
    </row>
    <row r="790" customFormat="false" ht="14.25" hidden="false" customHeight="true" outlineLevel="0" collapsed="false">
      <c r="A790" s="31"/>
      <c r="B790" s="189"/>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31"/>
      <c r="AD790" s="31"/>
      <c r="AE790" s="31"/>
      <c r="AF790" s="31"/>
      <c r="AG790" s="31"/>
      <c r="AH790" s="32"/>
      <c r="AI790" s="33"/>
      <c r="AJ790" s="34"/>
      <c r="AK790" s="31"/>
      <c r="AL790" s="31"/>
      <c r="AM790" s="31"/>
    </row>
    <row r="791" customFormat="false" ht="14.25" hidden="false" customHeight="true" outlineLevel="0" collapsed="false">
      <c r="A791" s="31"/>
      <c r="B791" s="189"/>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31"/>
      <c r="AD791" s="31"/>
      <c r="AE791" s="31"/>
      <c r="AF791" s="31"/>
      <c r="AG791" s="31"/>
      <c r="AH791" s="32"/>
      <c r="AI791" s="33"/>
      <c r="AJ791" s="34"/>
      <c r="AK791" s="31"/>
      <c r="AL791" s="31"/>
      <c r="AM791" s="31"/>
    </row>
    <row r="792" customFormat="false" ht="14.25" hidden="false" customHeight="true" outlineLevel="0" collapsed="false">
      <c r="A792" s="31"/>
      <c r="B792" s="189"/>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31"/>
      <c r="AD792" s="31"/>
      <c r="AE792" s="31"/>
      <c r="AF792" s="31"/>
      <c r="AG792" s="31"/>
      <c r="AH792" s="32"/>
      <c r="AI792" s="33"/>
      <c r="AJ792" s="34"/>
      <c r="AK792" s="31"/>
      <c r="AL792" s="31"/>
      <c r="AM792" s="31"/>
    </row>
    <row r="793" customFormat="false" ht="14.25" hidden="false" customHeight="true" outlineLevel="0" collapsed="false">
      <c r="A793" s="31"/>
      <c r="B793" s="189"/>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31"/>
      <c r="AD793" s="31"/>
      <c r="AE793" s="31"/>
      <c r="AF793" s="31"/>
      <c r="AG793" s="31"/>
      <c r="AH793" s="32"/>
      <c r="AI793" s="33"/>
      <c r="AJ793" s="34"/>
      <c r="AK793" s="31"/>
      <c r="AL793" s="31"/>
      <c r="AM793" s="31"/>
    </row>
    <row r="794" customFormat="false" ht="14.25" hidden="false" customHeight="true" outlineLevel="0" collapsed="false">
      <c r="A794" s="31"/>
      <c r="B794" s="189"/>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31"/>
      <c r="AD794" s="31"/>
      <c r="AE794" s="31"/>
      <c r="AF794" s="31"/>
      <c r="AG794" s="31"/>
      <c r="AH794" s="32"/>
      <c r="AI794" s="33"/>
      <c r="AJ794" s="34"/>
      <c r="AK794" s="31"/>
      <c r="AL794" s="31"/>
      <c r="AM794" s="31"/>
    </row>
    <row r="795" customFormat="false" ht="14.25" hidden="false" customHeight="true" outlineLevel="0" collapsed="false">
      <c r="A795" s="31"/>
      <c r="B795" s="189"/>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31"/>
      <c r="AD795" s="31"/>
      <c r="AE795" s="31"/>
      <c r="AF795" s="31"/>
      <c r="AG795" s="31"/>
      <c r="AH795" s="32"/>
      <c r="AI795" s="33"/>
      <c r="AJ795" s="34"/>
      <c r="AK795" s="31"/>
      <c r="AL795" s="31"/>
      <c r="AM795" s="31"/>
    </row>
    <row r="796" customFormat="false" ht="14.25" hidden="false" customHeight="true" outlineLevel="0" collapsed="false">
      <c r="A796" s="31"/>
      <c r="B796" s="189"/>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31"/>
      <c r="AD796" s="31"/>
      <c r="AE796" s="31"/>
      <c r="AF796" s="31"/>
      <c r="AG796" s="31"/>
      <c r="AH796" s="32"/>
      <c r="AI796" s="33"/>
      <c r="AJ796" s="34"/>
      <c r="AK796" s="31"/>
      <c r="AL796" s="31"/>
      <c r="AM796" s="31"/>
    </row>
    <row r="797" customFormat="false" ht="14.25" hidden="false" customHeight="true" outlineLevel="0" collapsed="false">
      <c r="A797" s="31"/>
      <c r="B797" s="189"/>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31"/>
      <c r="AD797" s="31"/>
      <c r="AE797" s="31"/>
      <c r="AF797" s="31"/>
      <c r="AG797" s="31"/>
      <c r="AH797" s="32"/>
      <c r="AI797" s="33"/>
      <c r="AJ797" s="34"/>
      <c r="AK797" s="31"/>
      <c r="AL797" s="31"/>
      <c r="AM797" s="31"/>
    </row>
    <row r="798" customFormat="false" ht="14.25" hidden="false" customHeight="true" outlineLevel="0" collapsed="false">
      <c r="A798" s="31"/>
      <c r="B798" s="189"/>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31"/>
      <c r="AD798" s="31"/>
      <c r="AE798" s="31"/>
      <c r="AF798" s="31"/>
      <c r="AG798" s="31"/>
      <c r="AH798" s="32"/>
      <c r="AI798" s="33"/>
      <c r="AJ798" s="34"/>
      <c r="AK798" s="31"/>
      <c r="AL798" s="31"/>
      <c r="AM798" s="31"/>
    </row>
    <row r="799" customFormat="false" ht="14.25" hidden="false" customHeight="true" outlineLevel="0" collapsed="false">
      <c r="A799" s="31"/>
      <c r="B799" s="189"/>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31"/>
      <c r="AD799" s="31"/>
      <c r="AE799" s="31"/>
      <c r="AF799" s="31"/>
      <c r="AG799" s="31"/>
      <c r="AH799" s="32"/>
      <c r="AI799" s="33"/>
      <c r="AJ799" s="34"/>
      <c r="AK799" s="31"/>
      <c r="AL799" s="31"/>
      <c r="AM799" s="31"/>
    </row>
    <row r="800" customFormat="false" ht="14.25" hidden="false" customHeight="true" outlineLevel="0" collapsed="false">
      <c r="A800" s="31"/>
      <c r="B800" s="189"/>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31"/>
      <c r="AD800" s="31"/>
      <c r="AE800" s="31"/>
      <c r="AF800" s="31"/>
      <c r="AG800" s="31"/>
      <c r="AH800" s="32"/>
      <c r="AI800" s="33"/>
      <c r="AJ800" s="34"/>
      <c r="AK800" s="31"/>
      <c r="AL800" s="31"/>
      <c r="AM800" s="31"/>
    </row>
    <row r="801" customFormat="false" ht="14.25" hidden="false" customHeight="true" outlineLevel="0" collapsed="false">
      <c r="A801" s="31"/>
      <c r="B801" s="189"/>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31"/>
      <c r="AD801" s="31"/>
      <c r="AE801" s="31"/>
      <c r="AF801" s="31"/>
      <c r="AG801" s="31"/>
      <c r="AH801" s="32"/>
      <c r="AI801" s="33"/>
      <c r="AJ801" s="34"/>
      <c r="AK801" s="31"/>
      <c r="AL801" s="31"/>
      <c r="AM801" s="31"/>
    </row>
    <row r="802" customFormat="false" ht="14.25" hidden="false" customHeight="true" outlineLevel="0" collapsed="false">
      <c r="A802" s="31"/>
      <c r="B802" s="189"/>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31"/>
      <c r="AD802" s="31"/>
      <c r="AE802" s="31"/>
      <c r="AF802" s="31"/>
      <c r="AG802" s="31"/>
      <c r="AH802" s="32"/>
      <c r="AI802" s="33"/>
      <c r="AJ802" s="34"/>
      <c r="AK802" s="31"/>
      <c r="AL802" s="31"/>
      <c r="AM802" s="31"/>
    </row>
    <row r="803" customFormat="false" ht="14.25" hidden="false" customHeight="true" outlineLevel="0" collapsed="false">
      <c r="A803" s="31"/>
      <c r="B803" s="189"/>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31"/>
      <c r="AD803" s="31"/>
      <c r="AE803" s="31"/>
      <c r="AF803" s="31"/>
      <c r="AG803" s="31"/>
      <c r="AH803" s="32"/>
      <c r="AI803" s="33"/>
      <c r="AJ803" s="34"/>
      <c r="AK803" s="31"/>
      <c r="AL803" s="31"/>
      <c r="AM803" s="31"/>
    </row>
    <row r="804" customFormat="false" ht="14.25" hidden="false" customHeight="true" outlineLevel="0" collapsed="false">
      <c r="A804" s="31"/>
      <c r="B804" s="189"/>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31"/>
      <c r="AD804" s="31"/>
      <c r="AE804" s="31"/>
      <c r="AF804" s="31"/>
      <c r="AG804" s="31"/>
      <c r="AH804" s="32"/>
      <c r="AI804" s="33"/>
      <c r="AJ804" s="34"/>
      <c r="AK804" s="31"/>
      <c r="AL804" s="31"/>
      <c r="AM804" s="31"/>
    </row>
    <row r="805" customFormat="false" ht="14.25" hidden="false" customHeight="true" outlineLevel="0" collapsed="false">
      <c r="A805" s="31"/>
      <c r="B805" s="189"/>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31"/>
      <c r="AD805" s="31"/>
      <c r="AE805" s="31"/>
      <c r="AF805" s="31"/>
      <c r="AG805" s="31"/>
      <c r="AH805" s="32"/>
      <c r="AI805" s="33"/>
      <c r="AJ805" s="34"/>
      <c r="AK805" s="31"/>
      <c r="AL805" s="31"/>
      <c r="AM805" s="31"/>
    </row>
    <row r="806" customFormat="false" ht="14.25" hidden="false" customHeight="true" outlineLevel="0" collapsed="false">
      <c r="A806" s="31"/>
      <c r="B806" s="189"/>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31"/>
      <c r="AD806" s="31"/>
      <c r="AE806" s="31"/>
      <c r="AF806" s="31"/>
      <c r="AG806" s="31"/>
      <c r="AH806" s="32"/>
      <c r="AI806" s="33"/>
      <c r="AJ806" s="34"/>
      <c r="AK806" s="31"/>
      <c r="AL806" s="31"/>
      <c r="AM806" s="31"/>
    </row>
    <row r="807" customFormat="false" ht="14.25" hidden="false" customHeight="true" outlineLevel="0" collapsed="false">
      <c r="A807" s="31"/>
      <c r="B807" s="189"/>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31"/>
      <c r="AD807" s="31"/>
      <c r="AE807" s="31"/>
      <c r="AF807" s="31"/>
      <c r="AG807" s="31"/>
      <c r="AH807" s="32"/>
      <c r="AI807" s="33"/>
      <c r="AJ807" s="34"/>
      <c r="AK807" s="31"/>
      <c r="AL807" s="31"/>
      <c r="AM807" s="31"/>
    </row>
    <row r="808" customFormat="false" ht="14.25" hidden="false" customHeight="true" outlineLevel="0" collapsed="false">
      <c r="A808" s="31"/>
      <c r="B808" s="189"/>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31"/>
      <c r="AD808" s="31"/>
      <c r="AE808" s="31"/>
      <c r="AF808" s="31"/>
      <c r="AG808" s="31"/>
      <c r="AH808" s="32"/>
      <c r="AI808" s="33"/>
      <c r="AJ808" s="34"/>
      <c r="AK808" s="31"/>
      <c r="AL808" s="31"/>
      <c r="AM808" s="31"/>
    </row>
    <row r="809" customFormat="false" ht="14.25" hidden="false" customHeight="true" outlineLevel="0" collapsed="false">
      <c r="A809" s="31"/>
      <c r="B809" s="189"/>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31"/>
      <c r="AD809" s="31"/>
      <c r="AE809" s="31"/>
      <c r="AF809" s="31"/>
      <c r="AG809" s="31"/>
      <c r="AH809" s="32"/>
      <c r="AI809" s="33"/>
      <c r="AJ809" s="34"/>
      <c r="AK809" s="31"/>
      <c r="AL809" s="31"/>
      <c r="AM809" s="31"/>
    </row>
    <row r="810" customFormat="false" ht="14.25" hidden="false" customHeight="true" outlineLevel="0" collapsed="false">
      <c r="A810" s="31"/>
      <c r="B810" s="189"/>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31"/>
      <c r="AD810" s="31"/>
      <c r="AE810" s="31"/>
      <c r="AF810" s="31"/>
      <c r="AG810" s="31"/>
      <c r="AH810" s="32"/>
      <c r="AI810" s="33"/>
      <c r="AJ810" s="34"/>
      <c r="AK810" s="31"/>
      <c r="AL810" s="31"/>
      <c r="AM810" s="31"/>
    </row>
    <row r="811" customFormat="false" ht="14.25" hidden="false" customHeight="true" outlineLevel="0" collapsed="false">
      <c r="A811" s="31"/>
      <c r="B811" s="189"/>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31"/>
      <c r="AD811" s="31"/>
      <c r="AE811" s="31"/>
      <c r="AF811" s="31"/>
      <c r="AG811" s="31"/>
      <c r="AH811" s="32"/>
      <c r="AI811" s="33"/>
      <c r="AJ811" s="34"/>
      <c r="AK811" s="31"/>
      <c r="AL811" s="31"/>
      <c r="AM811" s="31"/>
    </row>
    <row r="812" customFormat="false" ht="14.25" hidden="false" customHeight="true" outlineLevel="0" collapsed="false">
      <c r="A812" s="31"/>
      <c r="B812" s="189"/>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31"/>
      <c r="AD812" s="31"/>
      <c r="AE812" s="31"/>
      <c r="AF812" s="31"/>
      <c r="AG812" s="31"/>
      <c r="AH812" s="32"/>
      <c r="AI812" s="33"/>
      <c r="AJ812" s="34"/>
      <c r="AK812" s="31"/>
      <c r="AL812" s="31"/>
      <c r="AM812" s="31"/>
    </row>
    <row r="813" customFormat="false" ht="14.25" hidden="false" customHeight="true" outlineLevel="0" collapsed="false">
      <c r="A813" s="31"/>
      <c r="B813" s="189"/>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31"/>
      <c r="AD813" s="31"/>
      <c r="AE813" s="31"/>
      <c r="AF813" s="31"/>
      <c r="AG813" s="31"/>
      <c r="AH813" s="32"/>
      <c r="AI813" s="33"/>
      <c r="AJ813" s="34"/>
      <c r="AK813" s="31"/>
      <c r="AL813" s="31"/>
      <c r="AM813" s="31"/>
    </row>
    <row r="814" customFormat="false" ht="14.25" hidden="false" customHeight="true" outlineLevel="0" collapsed="false">
      <c r="A814" s="31"/>
      <c r="B814" s="189"/>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31"/>
      <c r="AD814" s="31"/>
      <c r="AE814" s="31"/>
      <c r="AF814" s="31"/>
      <c r="AG814" s="31"/>
      <c r="AH814" s="32"/>
      <c r="AI814" s="33"/>
      <c r="AJ814" s="34"/>
      <c r="AK814" s="31"/>
      <c r="AL814" s="31"/>
      <c r="AM814" s="31"/>
    </row>
    <row r="815" customFormat="false" ht="14.25" hidden="false" customHeight="true" outlineLevel="0" collapsed="false">
      <c r="A815" s="31"/>
      <c r="B815" s="189"/>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31"/>
      <c r="AD815" s="31"/>
      <c r="AE815" s="31"/>
      <c r="AF815" s="31"/>
      <c r="AG815" s="31"/>
      <c r="AH815" s="32"/>
      <c r="AI815" s="33"/>
      <c r="AJ815" s="34"/>
      <c r="AK815" s="31"/>
      <c r="AL815" s="31"/>
      <c r="AM815" s="31"/>
    </row>
    <row r="816" customFormat="false" ht="14.25" hidden="false" customHeight="true" outlineLevel="0" collapsed="false">
      <c r="A816" s="31"/>
      <c r="B816" s="189"/>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31"/>
      <c r="AD816" s="31"/>
      <c r="AE816" s="31"/>
      <c r="AF816" s="31"/>
      <c r="AG816" s="31"/>
      <c r="AH816" s="32"/>
      <c r="AI816" s="33"/>
      <c r="AJ816" s="34"/>
      <c r="AK816" s="31"/>
      <c r="AL816" s="31"/>
      <c r="AM816" s="31"/>
    </row>
    <row r="817" customFormat="false" ht="14.25" hidden="false" customHeight="true" outlineLevel="0" collapsed="false">
      <c r="A817" s="31"/>
      <c r="B817" s="189"/>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31"/>
      <c r="AD817" s="31"/>
      <c r="AE817" s="31"/>
      <c r="AF817" s="31"/>
      <c r="AG817" s="31"/>
      <c r="AH817" s="32"/>
      <c r="AI817" s="33"/>
      <c r="AJ817" s="34"/>
      <c r="AK817" s="31"/>
      <c r="AL817" s="31"/>
      <c r="AM817" s="31"/>
    </row>
    <row r="818" customFormat="false" ht="14.25" hidden="false" customHeight="true" outlineLevel="0" collapsed="false">
      <c r="A818" s="31"/>
      <c r="B818" s="189"/>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31"/>
      <c r="AD818" s="31"/>
      <c r="AE818" s="31"/>
      <c r="AF818" s="31"/>
      <c r="AG818" s="31"/>
      <c r="AH818" s="32"/>
      <c r="AI818" s="33"/>
      <c r="AJ818" s="34"/>
      <c r="AK818" s="31"/>
      <c r="AL818" s="31"/>
      <c r="AM818" s="31"/>
    </row>
    <row r="819" customFormat="false" ht="14.25" hidden="false" customHeight="true" outlineLevel="0" collapsed="false">
      <c r="A819" s="31"/>
      <c r="B819" s="189"/>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31"/>
      <c r="AD819" s="31"/>
      <c r="AE819" s="31"/>
      <c r="AF819" s="31"/>
      <c r="AG819" s="31"/>
      <c r="AH819" s="32"/>
      <c r="AI819" s="33"/>
      <c r="AJ819" s="34"/>
      <c r="AK819" s="31"/>
      <c r="AL819" s="31"/>
      <c r="AM819" s="31"/>
    </row>
    <row r="820" customFormat="false" ht="14.25" hidden="false" customHeight="true" outlineLevel="0" collapsed="false">
      <c r="A820" s="31"/>
      <c r="B820" s="189"/>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31"/>
      <c r="AD820" s="31"/>
      <c r="AE820" s="31"/>
      <c r="AF820" s="31"/>
      <c r="AG820" s="31"/>
      <c r="AH820" s="32"/>
      <c r="AI820" s="33"/>
      <c r="AJ820" s="34"/>
      <c r="AK820" s="31"/>
      <c r="AL820" s="31"/>
      <c r="AM820" s="31"/>
    </row>
    <row r="821" customFormat="false" ht="14.25" hidden="false" customHeight="true" outlineLevel="0" collapsed="false">
      <c r="A821" s="31"/>
      <c r="B821" s="189"/>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31"/>
      <c r="AD821" s="31"/>
      <c r="AE821" s="31"/>
      <c r="AF821" s="31"/>
      <c r="AG821" s="31"/>
      <c r="AH821" s="32"/>
      <c r="AI821" s="33"/>
      <c r="AJ821" s="34"/>
      <c r="AK821" s="31"/>
      <c r="AL821" s="31"/>
      <c r="AM821" s="31"/>
    </row>
    <row r="822" customFormat="false" ht="14.25" hidden="false" customHeight="true" outlineLevel="0" collapsed="false">
      <c r="A822" s="31"/>
      <c r="B822" s="189"/>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31"/>
      <c r="AD822" s="31"/>
      <c r="AE822" s="31"/>
      <c r="AF822" s="31"/>
      <c r="AG822" s="31"/>
      <c r="AH822" s="32"/>
      <c r="AI822" s="33"/>
      <c r="AJ822" s="34"/>
      <c r="AK822" s="31"/>
      <c r="AL822" s="31"/>
      <c r="AM822" s="31"/>
    </row>
    <row r="823" customFormat="false" ht="14.25" hidden="false" customHeight="true" outlineLevel="0" collapsed="false">
      <c r="A823" s="31"/>
      <c r="B823" s="189"/>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31"/>
      <c r="AD823" s="31"/>
      <c r="AE823" s="31"/>
      <c r="AF823" s="31"/>
      <c r="AG823" s="31"/>
      <c r="AH823" s="32"/>
      <c r="AI823" s="33"/>
      <c r="AJ823" s="34"/>
      <c r="AK823" s="31"/>
      <c r="AL823" s="31"/>
      <c r="AM823" s="31"/>
    </row>
    <row r="824" customFormat="false" ht="14.25" hidden="false" customHeight="true" outlineLevel="0" collapsed="false">
      <c r="A824" s="31"/>
      <c r="B824" s="189"/>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31"/>
      <c r="AD824" s="31"/>
      <c r="AE824" s="31"/>
      <c r="AF824" s="31"/>
      <c r="AG824" s="31"/>
      <c r="AH824" s="32"/>
      <c r="AI824" s="33"/>
      <c r="AJ824" s="34"/>
      <c r="AK824" s="31"/>
      <c r="AL824" s="31"/>
      <c r="AM824" s="31"/>
    </row>
    <row r="825" customFormat="false" ht="14.25" hidden="false" customHeight="true" outlineLevel="0" collapsed="false">
      <c r="A825" s="31"/>
      <c r="B825" s="189"/>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31"/>
      <c r="AD825" s="31"/>
      <c r="AE825" s="31"/>
      <c r="AF825" s="31"/>
      <c r="AG825" s="31"/>
      <c r="AH825" s="32"/>
      <c r="AI825" s="33"/>
      <c r="AJ825" s="34"/>
      <c r="AK825" s="31"/>
      <c r="AL825" s="31"/>
      <c r="AM825" s="31"/>
    </row>
    <row r="826" customFormat="false" ht="14.25" hidden="false" customHeight="true" outlineLevel="0" collapsed="false">
      <c r="A826" s="31"/>
      <c r="B826" s="189"/>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31"/>
      <c r="AD826" s="31"/>
      <c r="AE826" s="31"/>
      <c r="AF826" s="31"/>
      <c r="AG826" s="31"/>
      <c r="AH826" s="32"/>
      <c r="AI826" s="33"/>
      <c r="AJ826" s="34"/>
      <c r="AK826" s="31"/>
      <c r="AL826" s="31"/>
      <c r="AM826" s="31"/>
    </row>
    <row r="827" customFormat="false" ht="14.25" hidden="false" customHeight="true" outlineLevel="0" collapsed="false">
      <c r="A827" s="31"/>
      <c r="B827" s="189"/>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31"/>
      <c r="AD827" s="31"/>
      <c r="AE827" s="31"/>
      <c r="AF827" s="31"/>
      <c r="AG827" s="31"/>
      <c r="AH827" s="32"/>
      <c r="AI827" s="33"/>
      <c r="AJ827" s="34"/>
      <c r="AK827" s="31"/>
      <c r="AL827" s="31"/>
      <c r="AM827" s="31"/>
    </row>
    <row r="828" customFormat="false" ht="14.25" hidden="false" customHeight="true" outlineLevel="0" collapsed="false">
      <c r="A828" s="31"/>
      <c r="B828" s="189"/>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31"/>
      <c r="AD828" s="31"/>
      <c r="AE828" s="31"/>
      <c r="AF828" s="31"/>
      <c r="AG828" s="31"/>
      <c r="AH828" s="32"/>
      <c r="AI828" s="33"/>
      <c r="AJ828" s="34"/>
      <c r="AK828" s="31"/>
      <c r="AL828" s="31"/>
      <c r="AM828" s="31"/>
    </row>
    <row r="829" customFormat="false" ht="14.25" hidden="false" customHeight="true" outlineLevel="0" collapsed="false">
      <c r="A829" s="31"/>
      <c r="B829" s="189"/>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31"/>
      <c r="AD829" s="31"/>
      <c r="AE829" s="31"/>
      <c r="AF829" s="31"/>
      <c r="AG829" s="31"/>
      <c r="AH829" s="32"/>
      <c r="AI829" s="33"/>
      <c r="AJ829" s="34"/>
      <c r="AK829" s="31"/>
      <c r="AL829" s="31"/>
      <c r="AM829" s="31"/>
    </row>
    <row r="830" customFormat="false" ht="14.25" hidden="false" customHeight="true" outlineLevel="0" collapsed="false">
      <c r="A830" s="31"/>
      <c r="B830" s="189"/>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31"/>
      <c r="AD830" s="31"/>
      <c r="AE830" s="31"/>
      <c r="AF830" s="31"/>
      <c r="AG830" s="31"/>
      <c r="AH830" s="32"/>
      <c r="AI830" s="33"/>
      <c r="AJ830" s="34"/>
      <c r="AK830" s="31"/>
      <c r="AL830" s="31"/>
      <c r="AM830" s="31"/>
    </row>
    <row r="831" customFormat="false" ht="14.25" hidden="false" customHeight="true" outlineLevel="0" collapsed="false">
      <c r="A831" s="31"/>
      <c r="B831" s="189"/>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31"/>
      <c r="AD831" s="31"/>
      <c r="AE831" s="31"/>
      <c r="AF831" s="31"/>
      <c r="AG831" s="31"/>
      <c r="AH831" s="32"/>
      <c r="AI831" s="33"/>
      <c r="AJ831" s="34"/>
      <c r="AK831" s="31"/>
      <c r="AL831" s="31"/>
      <c r="AM831" s="31"/>
    </row>
    <row r="832" customFormat="false" ht="14.25" hidden="false" customHeight="true" outlineLevel="0" collapsed="false">
      <c r="A832" s="31"/>
      <c r="B832" s="189"/>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31"/>
      <c r="AD832" s="31"/>
      <c r="AE832" s="31"/>
      <c r="AF832" s="31"/>
      <c r="AG832" s="31"/>
      <c r="AH832" s="32"/>
      <c r="AI832" s="33"/>
      <c r="AJ832" s="34"/>
      <c r="AK832" s="31"/>
      <c r="AL832" s="31"/>
      <c r="AM832" s="31"/>
    </row>
    <row r="833" customFormat="false" ht="14.25" hidden="false" customHeight="true" outlineLevel="0" collapsed="false">
      <c r="A833" s="31"/>
      <c r="B833" s="189"/>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31"/>
      <c r="AD833" s="31"/>
      <c r="AE833" s="31"/>
      <c r="AF833" s="31"/>
      <c r="AG833" s="31"/>
      <c r="AH833" s="32"/>
      <c r="AI833" s="33"/>
      <c r="AJ833" s="34"/>
      <c r="AK833" s="31"/>
      <c r="AL833" s="31"/>
      <c r="AM833" s="31"/>
    </row>
    <row r="834" customFormat="false" ht="14.25" hidden="false" customHeight="true" outlineLevel="0" collapsed="false">
      <c r="A834" s="31"/>
      <c r="B834" s="189"/>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31"/>
      <c r="AD834" s="31"/>
      <c r="AE834" s="31"/>
      <c r="AF834" s="31"/>
      <c r="AG834" s="31"/>
      <c r="AH834" s="32"/>
      <c r="AI834" s="33"/>
      <c r="AJ834" s="34"/>
      <c r="AK834" s="31"/>
      <c r="AL834" s="31"/>
      <c r="AM834" s="31"/>
    </row>
    <row r="835" customFormat="false" ht="14.25" hidden="false" customHeight="true" outlineLevel="0" collapsed="false">
      <c r="A835" s="31"/>
      <c r="B835" s="189"/>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31"/>
      <c r="AD835" s="31"/>
      <c r="AE835" s="31"/>
      <c r="AF835" s="31"/>
      <c r="AG835" s="31"/>
      <c r="AH835" s="32"/>
      <c r="AI835" s="33"/>
      <c r="AJ835" s="34"/>
      <c r="AK835" s="31"/>
      <c r="AL835" s="31"/>
      <c r="AM835" s="31"/>
    </row>
    <row r="836" customFormat="false" ht="14.25" hidden="false" customHeight="true" outlineLevel="0" collapsed="false">
      <c r="A836" s="31"/>
      <c r="B836" s="189"/>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31"/>
      <c r="AD836" s="31"/>
      <c r="AE836" s="31"/>
      <c r="AF836" s="31"/>
      <c r="AG836" s="31"/>
      <c r="AH836" s="32"/>
      <c r="AI836" s="33"/>
      <c r="AJ836" s="34"/>
      <c r="AK836" s="31"/>
      <c r="AL836" s="31"/>
      <c r="AM836" s="31"/>
    </row>
    <row r="837" customFormat="false" ht="14.25" hidden="false" customHeight="true" outlineLevel="0" collapsed="false">
      <c r="A837" s="31"/>
      <c r="B837" s="189"/>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31"/>
      <c r="AD837" s="31"/>
      <c r="AE837" s="31"/>
      <c r="AF837" s="31"/>
      <c r="AG837" s="31"/>
      <c r="AH837" s="32"/>
      <c r="AI837" s="33"/>
      <c r="AJ837" s="34"/>
      <c r="AK837" s="31"/>
      <c r="AL837" s="31"/>
      <c r="AM837" s="31"/>
    </row>
    <row r="838" customFormat="false" ht="14.25" hidden="false" customHeight="true" outlineLevel="0" collapsed="false">
      <c r="A838" s="31"/>
      <c r="B838" s="189"/>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31"/>
      <c r="AD838" s="31"/>
      <c r="AE838" s="31"/>
      <c r="AF838" s="31"/>
      <c r="AG838" s="31"/>
      <c r="AH838" s="32"/>
      <c r="AI838" s="33"/>
      <c r="AJ838" s="34"/>
      <c r="AK838" s="31"/>
      <c r="AL838" s="31"/>
      <c r="AM838" s="31"/>
    </row>
    <row r="839" customFormat="false" ht="14.25" hidden="false" customHeight="true" outlineLevel="0" collapsed="false">
      <c r="A839" s="31"/>
      <c r="B839" s="189"/>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31"/>
      <c r="AD839" s="31"/>
      <c r="AE839" s="31"/>
      <c r="AF839" s="31"/>
      <c r="AG839" s="31"/>
      <c r="AH839" s="32"/>
      <c r="AI839" s="33"/>
      <c r="AJ839" s="34"/>
      <c r="AK839" s="31"/>
      <c r="AL839" s="31"/>
      <c r="AM839" s="31"/>
    </row>
    <row r="840" customFormat="false" ht="14.25" hidden="false" customHeight="true" outlineLevel="0" collapsed="false">
      <c r="A840" s="31"/>
      <c r="B840" s="189"/>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31"/>
      <c r="AD840" s="31"/>
      <c r="AE840" s="31"/>
      <c r="AF840" s="31"/>
      <c r="AG840" s="31"/>
      <c r="AH840" s="32"/>
      <c r="AI840" s="33"/>
      <c r="AJ840" s="34"/>
      <c r="AK840" s="31"/>
      <c r="AL840" s="31"/>
      <c r="AM840" s="31"/>
    </row>
    <row r="841" customFormat="false" ht="14.25" hidden="false" customHeight="true" outlineLevel="0" collapsed="false">
      <c r="A841" s="31"/>
      <c r="B841" s="189"/>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31"/>
      <c r="AD841" s="31"/>
      <c r="AE841" s="31"/>
      <c r="AF841" s="31"/>
      <c r="AG841" s="31"/>
      <c r="AH841" s="32"/>
      <c r="AI841" s="33"/>
      <c r="AJ841" s="34"/>
      <c r="AK841" s="31"/>
      <c r="AL841" s="31"/>
      <c r="AM841" s="31"/>
    </row>
    <row r="842" customFormat="false" ht="14.25" hidden="false" customHeight="true" outlineLevel="0" collapsed="false">
      <c r="A842" s="31"/>
      <c r="B842" s="189"/>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31"/>
      <c r="AD842" s="31"/>
      <c r="AE842" s="31"/>
      <c r="AF842" s="31"/>
      <c r="AG842" s="31"/>
      <c r="AH842" s="32"/>
      <c r="AI842" s="33"/>
      <c r="AJ842" s="34"/>
      <c r="AK842" s="31"/>
      <c r="AL842" s="31"/>
      <c r="AM842" s="31"/>
    </row>
    <row r="843" customFormat="false" ht="14.25" hidden="false" customHeight="true" outlineLevel="0" collapsed="false">
      <c r="A843" s="31"/>
      <c r="B843" s="189"/>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31"/>
      <c r="AD843" s="31"/>
      <c r="AE843" s="31"/>
      <c r="AF843" s="31"/>
      <c r="AG843" s="31"/>
      <c r="AH843" s="32"/>
      <c r="AI843" s="33"/>
      <c r="AJ843" s="34"/>
      <c r="AK843" s="31"/>
      <c r="AL843" s="31"/>
      <c r="AM843" s="31"/>
    </row>
    <row r="844" customFormat="false" ht="14.25" hidden="false" customHeight="true" outlineLevel="0" collapsed="false">
      <c r="A844" s="31"/>
      <c r="B844" s="189"/>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31"/>
      <c r="AD844" s="31"/>
      <c r="AE844" s="31"/>
      <c r="AF844" s="31"/>
      <c r="AG844" s="31"/>
      <c r="AH844" s="32"/>
      <c r="AI844" s="33"/>
      <c r="AJ844" s="34"/>
      <c r="AK844" s="31"/>
      <c r="AL844" s="31"/>
      <c r="AM844" s="31"/>
    </row>
    <row r="845" customFormat="false" ht="14.25" hidden="false" customHeight="true" outlineLevel="0" collapsed="false">
      <c r="A845" s="31"/>
      <c r="B845" s="189"/>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31"/>
      <c r="AD845" s="31"/>
      <c r="AE845" s="31"/>
      <c r="AF845" s="31"/>
      <c r="AG845" s="31"/>
      <c r="AH845" s="32"/>
      <c r="AI845" s="33"/>
      <c r="AJ845" s="34"/>
      <c r="AK845" s="31"/>
      <c r="AL845" s="31"/>
      <c r="AM845" s="31"/>
    </row>
    <row r="846" customFormat="false" ht="14.25" hidden="false" customHeight="true" outlineLevel="0" collapsed="false">
      <c r="A846" s="31"/>
      <c r="B846" s="189"/>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31"/>
      <c r="AD846" s="31"/>
      <c r="AE846" s="31"/>
      <c r="AF846" s="31"/>
      <c r="AG846" s="31"/>
      <c r="AH846" s="32"/>
      <c r="AI846" s="33"/>
      <c r="AJ846" s="34"/>
      <c r="AK846" s="31"/>
      <c r="AL846" s="31"/>
      <c r="AM846" s="31"/>
    </row>
    <row r="847" customFormat="false" ht="14.25" hidden="false" customHeight="true" outlineLevel="0" collapsed="false">
      <c r="A847" s="31"/>
      <c r="B847" s="189"/>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31"/>
      <c r="AD847" s="31"/>
      <c r="AE847" s="31"/>
      <c r="AF847" s="31"/>
      <c r="AG847" s="31"/>
      <c r="AH847" s="32"/>
      <c r="AI847" s="33"/>
      <c r="AJ847" s="34"/>
      <c r="AK847" s="31"/>
      <c r="AL847" s="31"/>
      <c r="AM847" s="31"/>
    </row>
    <row r="848" customFormat="false" ht="14.25" hidden="false" customHeight="true" outlineLevel="0" collapsed="false">
      <c r="A848" s="31"/>
      <c r="B848" s="189"/>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31"/>
      <c r="AD848" s="31"/>
      <c r="AE848" s="31"/>
      <c r="AF848" s="31"/>
      <c r="AG848" s="31"/>
      <c r="AH848" s="32"/>
      <c r="AI848" s="33"/>
      <c r="AJ848" s="34"/>
      <c r="AK848" s="31"/>
      <c r="AL848" s="31"/>
      <c r="AM848" s="31"/>
    </row>
    <row r="849" customFormat="false" ht="14.25" hidden="false" customHeight="true" outlineLevel="0" collapsed="false">
      <c r="A849" s="31"/>
      <c r="B849" s="189"/>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31"/>
      <c r="AD849" s="31"/>
      <c r="AE849" s="31"/>
      <c r="AF849" s="31"/>
      <c r="AG849" s="31"/>
      <c r="AH849" s="32"/>
      <c r="AI849" s="33"/>
      <c r="AJ849" s="34"/>
      <c r="AK849" s="31"/>
      <c r="AL849" s="31"/>
      <c r="AM849" s="31"/>
    </row>
    <row r="850" customFormat="false" ht="14.25" hidden="false" customHeight="true" outlineLevel="0" collapsed="false">
      <c r="A850" s="31"/>
      <c r="B850" s="189"/>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31"/>
      <c r="AD850" s="31"/>
      <c r="AE850" s="31"/>
      <c r="AF850" s="31"/>
      <c r="AG850" s="31"/>
      <c r="AH850" s="32"/>
      <c r="AI850" s="33"/>
      <c r="AJ850" s="34"/>
      <c r="AK850" s="31"/>
      <c r="AL850" s="31"/>
      <c r="AM850" s="31"/>
    </row>
    <row r="851" customFormat="false" ht="14.25" hidden="false" customHeight="true" outlineLevel="0" collapsed="false">
      <c r="A851" s="31"/>
      <c r="B851" s="189"/>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31"/>
      <c r="AD851" s="31"/>
      <c r="AE851" s="31"/>
      <c r="AF851" s="31"/>
      <c r="AG851" s="31"/>
      <c r="AH851" s="32"/>
      <c r="AI851" s="33"/>
      <c r="AJ851" s="34"/>
      <c r="AK851" s="31"/>
      <c r="AL851" s="31"/>
      <c r="AM851" s="31"/>
    </row>
    <row r="852" customFormat="false" ht="14.25" hidden="false" customHeight="true" outlineLevel="0" collapsed="false">
      <c r="A852" s="31"/>
      <c r="B852" s="189"/>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31"/>
      <c r="AD852" s="31"/>
      <c r="AE852" s="31"/>
      <c r="AF852" s="31"/>
      <c r="AG852" s="31"/>
      <c r="AH852" s="32"/>
      <c r="AI852" s="33"/>
      <c r="AJ852" s="34"/>
      <c r="AK852" s="31"/>
      <c r="AL852" s="31"/>
      <c r="AM852" s="31"/>
    </row>
    <row r="853" customFormat="false" ht="14.25" hidden="false" customHeight="true" outlineLevel="0" collapsed="false">
      <c r="A853" s="31"/>
      <c r="B853" s="189"/>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31"/>
      <c r="AD853" s="31"/>
      <c r="AE853" s="31"/>
      <c r="AF853" s="31"/>
      <c r="AG853" s="31"/>
      <c r="AH853" s="32"/>
      <c r="AI853" s="33"/>
      <c r="AJ853" s="34"/>
      <c r="AK853" s="31"/>
      <c r="AL853" s="31"/>
      <c r="AM853" s="31"/>
    </row>
    <row r="854" customFormat="false" ht="14.25" hidden="false" customHeight="true" outlineLevel="0" collapsed="false">
      <c r="A854" s="31"/>
      <c r="B854" s="189"/>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31"/>
      <c r="AD854" s="31"/>
      <c r="AE854" s="31"/>
      <c r="AF854" s="31"/>
      <c r="AG854" s="31"/>
      <c r="AH854" s="32"/>
      <c r="AI854" s="33"/>
      <c r="AJ854" s="34"/>
      <c r="AK854" s="31"/>
      <c r="AL854" s="31"/>
      <c r="AM854" s="31"/>
    </row>
    <row r="855" customFormat="false" ht="14.25" hidden="false" customHeight="true" outlineLevel="0" collapsed="false">
      <c r="A855" s="31"/>
      <c r="B855" s="189"/>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31"/>
      <c r="AD855" s="31"/>
      <c r="AE855" s="31"/>
      <c r="AF855" s="31"/>
      <c r="AG855" s="31"/>
      <c r="AH855" s="32"/>
      <c r="AI855" s="33"/>
      <c r="AJ855" s="34"/>
      <c r="AK855" s="31"/>
      <c r="AL855" s="31"/>
      <c r="AM855" s="31"/>
    </row>
    <row r="856" customFormat="false" ht="14.25" hidden="false" customHeight="true" outlineLevel="0" collapsed="false">
      <c r="A856" s="31"/>
      <c r="B856" s="189"/>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31"/>
      <c r="AD856" s="31"/>
      <c r="AE856" s="31"/>
      <c r="AF856" s="31"/>
      <c r="AG856" s="31"/>
      <c r="AH856" s="32"/>
      <c r="AI856" s="33"/>
      <c r="AJ856" s="34"/>
      <c r="AK856" s="31"/>
      <c r="AL856" s="31"/>
      <c r="AM856" s="31"/>
    </row>
    <row r="857" customFormat="false" ht="14.25" hidden="false" customHeight="true" outlineLevel="0" collapsed="false">
      <c r="A857" s="31"/>
      <c r="B857" s="189"/>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31"/>
      <c r="AD857" s="31"/>
      <c r="AE857" s="31"/>
      <c r="AF857" s="31"/>
      <c r="AG857" s="31"/>
      <c r="AH857" s="32"/>
      <c r="AI857" s="33"/>
      <c r="AJ857" s="34"/>
      <c r="AK857" s="31"/>
      <c r="AL857" s="31"/>
      <c r="AM857" s="31"/>
    </row>
    <row r="858" customFormat="false" ht="14.25" hidden="false" customHeight="true" outlineLevel="0" collapsed="false">
      <c r="A858" s="31"/>
      <c r="B858" s="189"/>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31"/>
      <c r="AD858" s="31"/>
      <c r="AE858" s="31"/>
      <c r="AF858" s="31"/>
      <c r="AG858" s="31"/>
      <c r="AH858" s="32"/>
      <c r="AI858" s="33"/>
      <c r="AJ858" s="34"/>
      <c r="AK858" s="31"/>
      <c r="AL858" s="31"/>
      <c r="AM858" s="31"/>
    </row>
    <row r="859" customFormat="false" ht="14.25" hidden="false" customHeight="true" outlineLevel="0" collapsed="false">
      <c r="A859" s="31"/>
      <c r="B859" s="189"/>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31"/>
      <c r="AD859" s="31"/>
      <c r="AE859" s="31"/>
      <c r="AF859" s="31"/>
      <c r="AG859" s="31"/>
      <c r="AH859" s="32"/>
      <c r="AI859" s="33"/>
      <c r="AJ859" s="34"/>
      <c r="AK859" s="31"/>
      <c r="AL859" s="31"/>
      <c r="AM859" s="31"/>
    </row>
    <row r="860" customFormat="false" ht="14.25" hidden="false" customHeight="true" outlineLevel="0" collapsed="false">
      <c r="A860" s="31"/>
      <c r="B860" s="189"/>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31"/>
      <c r="AD860" s="31"/>
      <c r="AE860" s="31"/>
      <c r="AF860" s="31"/>
      <c r="AG860" s="31"/>
      <c r="AH860" s="32"/>
      <c r="AI860" s="33"/>
      <c r="AJ860" s="34"/>
      <c r="AK860" s="31"/>
      <c r="AL860" s="31"/>
      <c r="AM860" s="31"/>
    </row>
    <row r="861" customFormat="false" ht="14.25" hidden="false" customHeight="true" outlineLevel="0" collapsed="false">
      <c r="A861" s="31"/>
      <c r="B861" s="189"/>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31"/>
      <c r="AD861" s="31"/>
      <c r="AE861" s="31"/>
      <c r="AF861" s="31"/>
      <c r="AG861" s="31"/>
      <c r="AH861" s="32"/>
      <c r="AI861" s="33"/>
      <c r="AJ861" s="34"/>
      <c r="AK861" s="31"/>
      <c r="AL861" s="31"/>
      <c r="AM861" s="31"/>
    </row>
    <row r="862" customFormat="false" ht="14.25" hidden="false" customHeight="true" outlineLevel="0" collapsed="false">
      <c r="A862" s="31"/>
      <c r="B862" s="189"/>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31"/>
      <c r="AD862" s="31"/>
      <c r="AE862" s="31"/>
      <c r="AF862" s="31"/>
      <c r="AG862" s="31"/>
      <c r="AH862" s="32"/>
      <c r="AI862" s="33"/>
      <c r="AJ862" s="34"/>
      <c r="AK862" s="31"/>
      <c r="AL862" s="31"/>
      <c r="AM862" s="31"/>
    </row>
    <row r="863" customFormat="false" ht="14.25" hidden="false" customHeight="true" outlineLevel="0" collapsed="false">
      <c r="A863" s="31"/>
      <c r="B863" s="189"/>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31"/>
      <c r="AD863" s="31"/>
      <c r="AE863" s="31"/>
      <c r="AF863" s="31"/>
      <c r="AG863" s="31"/>
      <c r="AH863" s="32"/>
      <c r="AI863" s="33"/>
      <c r="AJ863" s="34"/>
      <c r="AK863" s="31"/>
      <c r="AL863" s="31"/>
      <c r="AM863" s="31"/>
    </row>
    <row r="864" customFormat="false" ht="14.25" hidden="false" customHeight="true" outlineLevel="0" collapsed="false">
      <c r="A864" s="31"/>
      <c r="B864" s="189"/>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31"/>
      <c r="AD864" s="31"/>
      <c r="AE864" s="31"/>
      <c r="AF864" s="31"/>
      <c r="AG864" s="31"/>
      <c r="AH864" s="32"/>
      <c r="AI864" s="33"/>
      <c r="AJ864" s="34"/>
      <c r="AK864" s="31"/>
      <c r="AL864" s="31"/>
      <c r="AM864" s="31"/>
    </row>
    <row r="865" customFormat="false" ht="14.25" hidden="false" customHeight="true" outlineLevel="0" collapsed="false">
      <c r="A865" s="31"/>
      <c r="B865" s="189"/>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31"/>
      <c r="AD865" s="31"/>
      <c r="AE865" s="31"/>
      <c r="AF865" s="31"/>
      <c r="AG865" s="31"/>
      <c r="AH865" s="32"/>
      <c r="AI865" s="33"/>
      <c r="AJ865" s="34"/>
      <c r="AK865" s="31"/>
      <c r="AL865" s="31"/>
      <c r="AM865" s="31"/>
    </row>
    <row r="866" customFormat="false" ht="14.25" hidden="false" customHeight="true" outlineLevel="0" collapsed="false">
      <c r="A866" s="31"/>
      <c r="B866" s="189"/>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31"/>
      <c r="AD866" s="31"/>
      <c r="AE866" s="31"/>
      <c r="AF866" s="31"/>
      <c r="AG866" s="31"/>
      <c r="AH866" s="32"/>
      <c r="AI866" s="33"/>
      <c r="AJ866" s="34"/>
      <c r="AK866" s="31"/>
      <c r="AL866" s="31"/>
      <c r="AM866" s="31"/>
    </row>
    <row r="867" customFormat="false" ht="14.25" hidden="false" customHeight="true" outlineLevel="0" collapsed="false">
      <c r="A867" s="31"/>
      <c r="B867" s="189"/>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31"/>
      <c r="AD867" s="31"/>
      <c r="AE867" s="31"/>
      <c r="AF867" s="31"/>
      <c r="AG867" s="31"/>
      <c r="AH867" s="32"/>
      <c r="AI867" s="33"/>
      <c r="AJ867" s="34"/>
      <c r="AK867" s="31"/>
      <c r="AL867" s="31"/>
      <c r="AM867" s="31"/>
    </row>
    <row r="868" customFormat="false" ht="14.25" hidden="false" customHeight="true" outlineLevel="0" collapsed="false">
      <c r="A868" s="31"/>
      <c r="B868" s="189"/>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31"/>
      <c r="AD868" s="31"/>
      <c r="AE868" s="31"/>
      <c r="AF868" s="31"/>
      <c r="AG868" s="31"/>
      <c r="AH868" s="32"/>
      <c r="AI868" s="33"/>
      <c r="AJ868" s="34"/>
      <c r="AK868" s="31"/>
      <c r="AL868" s="31"/>
      <c r="AM868" s="31"/>
    </row>
    <row r="869" customFormat="false" ht="14.25" hidden="false" customHeight="true" outlineLevel="0" collapsed="false">
      <c r="A869" s="31"/>
      <c r="B869" s="189"/>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31"/>
      <c r="AD869" s="31"/>
      <c r="AE869" s="31"/>
      <c r="AF869" s="31"/>
      <c r="AG869" s="31"/>
      <c r="AH869" s="32"/>
      <c r="AI869" s="33"/>
      <c r="AJ869" s="34"/>
      <c r="AK869" s="31"/>
      <c r="AL869" s="31"/>
      <c r="AM869" s="31"/>
    </row>
    <row r="870" customFormat="false" ht="14.25" hidden="false" customHeight="true" outlineLevel="0" collapsed="false">
      <c r="A870" s="31"/>
      <c r="B870" s="189"/>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31"/>
      <c r="AD870" s="31"/>
      <c r="AE870" s="31"/>
      <c r="AF870" s="31"/>
      <c r="AG870" s="31"/>
      <c r="AH870" s="32"/>
      <c r="AI870" s="33"/>
      <c r="AJ870" s="34"/>
      <c r="AK870" s="31"/>
      <c r="AL870" s="31"/>
      <c r="AM870" s="31"/>
    </row>
    <row r="871" customFormat="false" ht="14.25" hidden="false" customHeight="true" outlineLevel="0" collapsed="false">
      <c r="A871" s="31"/>
      <c r="B871" s="189"/>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31"/>
      <c r="AD871" s="31"/>
      <c r="AE871" s="31"/>
      <c r="AF871" s="31"/>
      <c r="AG871" s="31"/>
      <c r="AH871" s="32"/>
      <c r="AI871" s="33"/>
      <c r="AJ871" s="34"/>
      <c r="AK871" s="31"/>
      <c r="AL871" s="31"/>
      <c r="AM871" s="31"/>
    </row>
    <row r="872" customFormat="false" ht="14.25" hidden="false" customHeight="true" outlineLevel="0" collapsed="false">
      <c r="A872" s="31"/>
      <c r="B872" s="189"/>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31"/>
      <c r="AD872" s="31"/>
      <c r="AE872" s="31"/>
      <c r="AF872" s="31"/>
      <c r="AG872" s="31"/>
      <c r="AH872" s="32"/>
      <c r="AI872" s="33"/>
      <c r="AJ872" s="34"/>
      <c r="AK872" s="31"/>
      <c r="AL872" s="31"/>
      <c r="AM872" s="31"/>
    </row>
    <row r="873" customFormat="false" ht="14.25" hidden="false" customHeight="true" outlineLevel="0" collapsed="false">
      <c r="A873" s="31"/>
      <c r="B873" s="189"/>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31"/>
      <c r="AD873" s="31"/>
      <c r="AE873" s="31"/>
      <c r="AF873" s="31"/>
      <c r="AG873" s="31"/>
      <c r="AH873" s="32"/>
      <c r="AI873" s="33"/>
      <c r="AJ873" s="34"/>
      <c r="AK873" s="31"/>
      <c r="AL873" s="31"/>
      <c r="AM873" s="31"/>
    </row>
    <row r="874" customFormat="false" ht="14.25" hidden="false" customHeight="true" outlineLevel="0" collapsed="false">
      <c r="A874" s="31"/>
      <c r="B874" s="189"/>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31"/>
      <c r="AD874" s="31"/>
      <c r="AE874" s="31"/>
      <c r="AF874" s="31"/>
      <c r="AG874" s="31"/>
      <c r="AH874" s="32"/>
      <c r="AI874" s="33"/>
      <c r="AJ874" s="34"/>
      <c r="AK874" s="31"/>
      <c r="AL874" s="31"/>
      <c r="AM874" s="31"/>
    </row>
    <row r="875" customFormat="false" ht="14.25" hidden="false" customHeight="true" outlineLevel="0" collapsed="false">
      <c r="A875" s="31"/>
      <c r="B875" s="189"/>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31"/>
      <c r="AD875" s="31"/>
      <c r="AE875" s="31"/>
      <c r="AF875" s="31"/>
      <c r="AG875" s="31"/>
      <c r="AH875" s="32"/>
      <c r="AI875" s="33"/>
      <c r="AJ875" s="34"/>
      <c r="AK875" s="31"/>
      <c r="AL875" s="31"/>
      <c r="AM875" s="31"/>
    </row>
    <row r="876" customFormat="false" ht="14.25" hidden="false" customHeight="true" outlineLevel="0" collapsed="false">
      <c r="A876" s="31"/>
      <c r="B876" s="189"/>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31"/>
      <c r="AD876" s="31"/>
      <c r="AE876" s="31"/>
      <c r="AF876" s="31"/>
      <c r="AG876" s="31"/>
      <c r="AH876" s="32"/>
      <c r="AI876" s="33"/>
      <c r="AJ876" s="34"/>
      <c r="AK876" s="31"/>
      <c r="AL876" s="31"/>
      <c r="AM876" s="31"/>
    </row>
    <row r="877" customFormat="false" ht="14.25" hidden="false" customHeight="true" outlineLevel="0" collapsed="false">
      <c r="A877" s="31"/>
      <c r="B877" s="189"/>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31"/>
      <c r="AD877" s="31"/>
      <c r="AE877" s="31"/>
      <c r="AF877" s="31"/>
      <c r="AG877" s="31"/>
      <c r="AH877" s="32"/>
      <c r="AI877" s="33"/>
      <c r="AJ877" s="34"/>
      <c r="AK877" s="31"/>
      <c r="AL877" s="31"/>
      <c r="AM877" s="31"/>
    </row>
    <row r="878" customFormat="false" ht="14.25" hidden="false" customHeight="true" outlineLevel="0" collapsed="false">
      <c r="A878" s="31"/>
      <c r="B878" s="189"/>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31"/>
      <c r="AD878" s="31"/>
      <c r="AE878" s="31"/>
      <c r="AF878" s="31"/>
      <c r="AG878" s="31"/>
      <c r="AH878" s="32"/>
      <c r="AI878" s="33"/>
      <c r="AJ878" s="34"/>
      <c r="AK878" s="31"/>
      <c r="AL878" s="31"/>
      <c r="AM878" s="31"/>
    </row>
    <row r="879" customFormat="false" ht="14.25" hidden="false" customHeight="true" outlineLevel="0" collapsed="false">
      <c r="A879" s="31"/>
      <c r="B879" s="189"/>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31"/>
      <c r="AD879" s="31"/>
      <c r="AE879" s="31"/>
      <c r="AF879" s="31"/>
      <c r="AG879" s="31"/>
      <c r="AH879" s="32"/>
      <c r="AI879" s="33"/>
      <c r="AJ879" s="34"/>
      <c r="AK879" s="31"/>
      <c r="AL879" s="31"/>
      <c r="AM879" s="31"/>
    </row>
    <row r="880" customFormat="false" ht="14.25" hidden="false" customHeight="true" outlineLevel="0" collapsed="false">
      <c r="A880" s="31"/>
      <c r="B880" s="189"/>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31"/>
      <c r="AD880" s="31"/>
      <c r="AE880" s="31"/>
      <c r="AF880" s="31"/>
      <c r="AG880" s="31"/>
      <c r="AH880" s="32"/>
      <c r="AI880" s="33"/>
      <c r="AJ880" s="34"/>
      <c r="AK880" s="31"/>
      <c r="AL880" s="31"/>
      <c r="AM880" s="31"/>
    </row>
    <row r="881" customFormat="false" ht="14.25" hidden="false" customHeight="true" outlineLevel="0" collapsed="false">
      <c r="A881" s="31"/>
      <c r="B881" s="189"/>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31"/>
      <c r="AD881" s="31"/>
      <c r="AE881" s="31"/>
      <c r="AF881" s="31"/>
      <c r="AG881" s="31"/>
      <c r="AH881" s="32"/>
      <c r="AI881" s="33"/>
      <c r="AJ881" s="34"/>
      <c r="AK881" s="31"/>
      <c r="AL881" s="31"/>
      <c r="AM881" s="31"/>
    </row>
    <row r="882" customFormat="false" ht="14.25" hidden="false" customHeight="true" outlineLevel="0" collapsed="false">
      <c r="A882" s="31"/>
      <c r="B882" s="189"/>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31"/>
      <c r="AD882" s="31"/>
      <c r="AE882" s="31"/>
      <c r="AF882" s="31"/>
      <c r="AG882" s="31"/>
      <c r="AH882" s="32"/>
      <c r="AI882" s="33"/>
      <c r="AJ882" s="34"/>
      <c r="AK882" s="31"/>
      <c r="AL882" s="31"/>
      <c r="AM882" s="31"/>
    </row>
    <row r="883" customFormat="false" ht="14.25" hidden="false" customHeight="true" outlineLevel="0" collapsed="false">
      <c r="A883" s="31"/>
      <c r="B883" s="189"/>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31"/>
      <c r="AD883" s="31"/>
      <c r="AE883" s="31"/>
      <c r="AF883" s="31"/>
      <c r="AG883" s="31"/>
      <c r="AH883" s="32"/>
      <c r="AI883" s="33"/>
      <c r="AJ883" s="34"/>
      <c r="AK883" s="31"/>
      <c r="AL883" s="31"/>
      <c r="AM883" s="31"/>
    </row>
    <row r="884" customFormat="false" ht="14.25" hidden="false" customHeight="true" outlineLevel="0" collapsed="false">
      <c r="A884" s="31"/>
      <c r="B884" s="189"/>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31"/>
      <c r="AD884" s="31"/>
      <c r="AE884" s="31"/>
      <c r="AF884" s="31"/>
      <c r="AG884" s="31"/>
      <c r="AH884" s="32"/>
      <c r="AI884" s="33"/>
      <c r="AJ884" s="34"/>
      <c r="AK884" s="31"/>
      <c r="AL884" s="31"/>
      <c r="AM884" s="31"/>
    </row>
    <row r="885" customFormat="false" ht="14.25" hidden="false" customHeight="true" outlineLevel="0" collapsed="false">
      <c r="A885" s="31"/>
      <c r="B885" s="189"/>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31"/>
      <c r="AD885" s="31"/>
      <c r="AE885" s="31"/>
      <c r="AF885" s="31"/>
      <c r="AG885" s="31"/>
      <c r="AH885" s="32"/>
      <c r="AI885" s="33"/>
      <c r="AJ885" s="34"/>
      <c r="AK885" s="31"/>
      <c r="AL885" s="31"/>
      <c r="AM885" s="31"/>
    </row>
    <row r="886" customFormat="false" ht="14.25" hidden="false" customHeight="true" outlineLevel="0" collapsed="false">
      <c r="A886" s="31"/>
      <c r="B886" s="189"/>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31"/>
      <c r="AD886" s="31"/>
      <c r="AE886" s="31"/>
      <c r="AF886" s="31"/>
      <c r="AG886" s="31"/>
      <c r="AH886" s="32"/>
      <c r="AI886" s="33"/>
      <c r="AJ886" s="34"/>
      <c r="AK886" s="31"/>
      <c r="AL886" s="31"/>
      <c r="AM886" s="31"/>
    </row>
    <row r="887" customFormat="false" ht="14.25" hidden="false" customHeight="true" outlineLevel="0" collapsed="false">
      <c r="A887" s="31"/>
      <c r="B887" s="189"/>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31"/>
      <c r="AD887" s="31"/>
      <c r="AE887" s="31"/>
      <c r="AF887" s="31"/>
      <c r="AG887" s="31"/>
      <c r="AH887" s="32"/>
      <c r="AI887" s="33"/>
      <c r="AJ887" s="34"/>
      <c r="AK887" s="31"/>
      <c r="AL887" s="31"/>
      <c r="AM887" s="31"/>
    </row>
    <row r="888" customFormat="false" ht="14.25" hidden="false" customHeight="true" outlineLevel="0" collapsed="false">
      <c r="A888" s="31"/>
      <c r="B888" s="189"/>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31"/>
      <c r="AD888" s="31"/>
      <c r="AE888" s="31"/>
      <c r="AF888" s="31"/>
      <c r="AG888" s="31"/>
      <c r="AH888" s="32"/>
      <c r="AI888" s="33"/>
      <c r="AJ888" s="34"/>
      <c r="AK888" s="31"/>
      <c r="AL888" s="31"/>
      <c r="AM888" s="31"/>
    </row>
    <row r="889" customFormat="false" ht="14.25" hidden="false" customHeight="true" outlineLevel="0" collapsed="false">
      <c r="A889" s="31"/>
      <c r="B889" s="189"/>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31"/>
      <c r="AD889" s="31"/>
      <c r="AE889" s="31"/>
      <c r="AF889" s="31"/>
      <c r="AG889" s="31"/>
      <c r="AH889" s="32"/>
      <c r="AI889" s="33"/>
      <c r="AJ889" s="34"/>
      <c r="AK889" s="31"/>
      <c r="AL889" s="31"/>
      <c r="AM889" s="31"/>
    </row>
    <row r="890" customFormat="false" ht="14.25" hidden="false" customHeight="true" outlineLevel="0" collapsed="false">
      <c r="A890" s="31"/>
      <c r="B890" s="189"/>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31"/>
      <c r="AD890" s="31"/>
      <c r="AE890" s="31"/>
      <c r="AF890" s="31"/>
      <c r="AG890" s="31"/>
      <c r="AH890" s="32"/>
      <c r="AI890" s="33"/>
      <c r="AJ890" s="34"/>
      <c r="AK890" s="31"/>
      <c r="AL890" s="31"/>
      <c r="AM890" s="31"/>
    </row>
    <row r="891" customFormat="false" ht="14.25" hidden="false" customHeight="true" outlineLevel="0" collapsed="false">
      <c r="A891" s="31"/>
      <c r="B891" s="189"/>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31"/>
      <c r="AD891" s="31"/>
      <c r="AE891" s="31"/>
      <c r="AF891" s="31"/>
      <c r="AG891" s="31"/>
      <c r="AH891" s="32"/>
      <c r="AI891" s="33"/>
      <c r="AJ891" s="34"/>
      <c r="AK891" s="31"/>
      <c r="AL891" s="31"/>
      <c r="AM891" s="31"/>
    </row>
    <row r="892" customFormat="false" ht="14.25" hidden="false" customHeight="true" outlineLevel="0" collapsed="false">
      <c r="A892" s="31"/>
      <c r="B892" s="189"/>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31"/>
      <c r="AD892" s="31"/>
      <c r="AE892" s="31"/>
      <c r="AF892" s="31"/>
      <c r="AG892" s="31"/>
      <c r="AH892" s="32"/>
      <c r="AI892" s="33"/>
      <c r="AJ892" s="34"/>
      <c r="AK892" s="31"/>
      <c r="AL892" s="31"/>
      <c r="AM892" s="31"/>
    </row>
    <row r="893" customFormat="false" ht="14.25" hidden="false" customHeight="true" outlineLevel="0" collapsed="false">
      <c r="A893" s="31"/>
      <c r="B893" s="189"/>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31"/>
      <c r="AD893" s="31"/>
      <c r="AE893" s="31"/>
      <c r="AF893" s="31"/>
      <c r="AG893" s="31"/>
      <c r="AH893" s="32"/>
      <c r="AI893" s="33"/>
      <c r="AJ893" s="34"/>
      <c r="AK893" s="31"/>
      <c r="AL893" s="31"/>
      <c r="AM893" s="31"/>
    </row>
    <row r="894" customFormat="false" ht="14.25" hidden="false" customHeight="true" outlineLevel="0" collapsed="false">
      <c r="A894" s="31"/>
      <c r="B894" s="189"/>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31"/>
      <c r="AD894" s="31"/>
      <c r="AE894" s="31"/>
      <c r="AF894" s="31"/>
      <c r="AG894" s="31"/>
      <c r="AH894" s="32"/>
      <c r="AI894" s="33"/>
      <c r="AJ894" s="34"/>
      <c r="AK894" s="31"/>
      <c r="AL894" s="31"/>
      <c r="AM894" s="31"/>
    </row>
    <row r="895" customFormat="false" ht="14.25" hidden="false" customHeight="true" outlineLevel="0" collapsed="false">
      <c r="A895" s="31"/>
      <c r="B895" s="189"/>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31"/>
      <c r="AD895" s="31"/>
      <c r="AE895" s="31"/>
      <c r="AF895" s="31"/>
      <c r="AG895" s="31"/>
      <c r="AH895" s="32"/>
      <c r="AI895" s="33"/>
      <c r="AJ895" s="34"/>
      <c r="AK895" s="31"/>
      <c r="AL895" s="31"/>
      <c r="AM895" s="31"/>
    </row>
    <row r="896" customFormat="false" ht="14.25" hidden="false" customHeight="true" outlineLevel="0" collapsed="false">
      <c r="A896" s="31"/>
      <c r="B896" s="189"/>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31"/>
      <c r="AD896" s="31"/>
      <c r="AE896" s="31"/>
      <c r="AF896" s="31"/>
      <c r="AG896" s="31"/>
      <c r="AH896" s="32"/>
      <c r="AI896" s="33"/>
      <c r="AJ896" s="34"/>
      <c r="AK896" s="31"/>
      <c r="AL896" s="31"/>
      <c r="AM896" s="31"/>
    </row>
    <row r="897" customFormat="false" ht="14.25" hidden="false" customHeight="true" outlineLevel="0" collapsed="false">
      <c r="A897" s="31"/>
      <c r="B897" s="189"/>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31"/>
      <c r="AD897" s="31"/>
      <c r="AE897" s="31"/>
      <c r="AF897" s="31"/>
      <c r="AG897" s="31"/>
      <c r="AH897" s="32"/>
      <c r="AI897" s="33"/>
      <c r="AJ897" s="34"/>
      <c r="AK897" s="31"/>
      <c r="AL897" s="31"/>
      <c r="AM897" s="31"/>
    </row>
    <row r="898" customFormat="false" ht="14.25" hidden="false" customHeight="true" outlineLevel="0" collapsed="false">
      <c r="A898" s="31"/>
      <c r="B898" s="189"/>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31"/>
      <c r="AD898" s="31"/>
      <c r="AE898" s="31"/>
      <c r="AF898" s="31"/>
      <c r="AG898" s="31"/>
      <c r="AH898" s="32"/>
      <c r="AI898" s="33"/>
      <c r="AJ898" s="34"/>
      <c r="AK898" s="31"/>
      <c r="AL898" s="31"/>
      <c r="AM898" s="31"/>
    </row>
    <row r="899" customFormat="false" ht="14.25" hidden="false" customHeight="true" outlineLevel="0" collapsed="false">
      <c r="A899" s="31"/>
      <c r="B899" s="189"/>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31"/>
      <c r="AD899" s="31"/>
      <c r="AE899" s="31"/>
      <c r="AF899" s="31"/>
      <c r="AG899" s="31"/>
      <c r="AH899" s="32"/>
      <c r="AI899" s="33"/>
      <c r="AJ899" s="34"/>
      <c r="AK899" s="31"/>
      <c r="AL899" s="31"/>
      <c r="AM899" s="31"/>
    </row>
    <row r="900" customFormat="false" ht="14.25" hidden="false" customHeight="true" outlineLevel="0" collapsed="false">
      <c r="A900" s="31"/>
      <c r="B900" s="189"/>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31"/>
      <c r="AD900" s="31"/>
      <c r="AE900" s="31"/>
      <c r="AF900" s="31"/>
      <c r="AG900" s="31"/>
      <c r="AH900" s="32"/>
      <c r="AI900" s="33"/>
      <c r="AJ900" s="34"/>
      <c r="AK900" s="31"/>
      <c r="AL900" s="31"/>
      <c r="AM900" s="31"/>
    </row>
    <row r="901" customFormat="false" ht="14.25" hidden="false" customHeight="true" outlineLevel="0" collapsed="false">
      <c r="A901" s="31"/>
      <c r="B901" s="189"/>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31"/>
      <c r="AD901" s="31"/>
      <c r="AE901" s="31"/>
      <c r="AF901" s="31"/>
      <c r="AG901" s="31"/>
      <c r="AH901" s="32"/>
      <c r="AI901" s="33"/>
      <c r="AJ901" s="34"/>
      <c r="AK901" s="31"/>
      <c r="AL901" s="31"/>
      <c r="AM901" s="31"/>
    </row>
    <row r="902" customFormat="false" ht="14.25" hidden="false" customHeight="true" outlineLevel="0" collapsed="false">
      <c r="A902" s="31"/>
      <c r="B902" s="189"/>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31"/>
      <c r="AD902" s="31"/>
      <c r="AE902" s="31"/>
      <c r="AF902" s="31"/>
      <c r="AG902" s="31"/>
      <c r="AH902" s="32"/>
      <c r="AI902" s="33"/>
      <c r="AJ902" s="34"/>
      <c r="AK902" s="31"/>
      <c r="AL902" s="31"/>
      <c r="AM902" s="31"/>
    </row>
    <row r="903" customFormat="false" ht="14.25" hidden="false" customHeight="true" outlineLevel="0" collapsed="false">
      <c r="A903" s="31"/>
      <c r="B903" s="189"/>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31"/>
      <c r="AD903" s="31"/>
      <c r="AE903" s="31"/>
      <c r="AF903" s="31"/>
      <c r="AG903" s="31"/>
      <c r="AH903" s="32"/>
      <c r="AI903" s="33"/>
      <c r="AJ903" s="34"/>
      <c r="AK903" s="31"/>
      <c r="AL903" s="31"/>
      <c r="AM903" s="31"/>
    </row>
    <row r="904" customFormat="false" ht="14.25" hidden="false" customHeight="true" outlineLevel="0" collapsed="false">
      <c r="A904" s="31"/>
      <c r="B904" s="189"/>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31"/>
      <c r="AD904" s="31"/>
      <c r="AE904" s="31"/>
      <c r="AF904" s="31"/>
      <c r="AG904" s="31"/>
      <c r="AH904" s="32"/>
      <c r="AI904" s="33"/>
      <c r="AJ904" s="34"/>
      <c r="AK904" s="31"/>
      <c r="AL904" s="31"/>
      <c r="AM904" s="31"/>
    </row>
    <row r="905" customFormat="false" ht="14.25" hidden="false" customHeight="true" outlineLevel="0" collapsed="false">
      <c r="A905" s="31"/>
      <c r="B905" s="189"/>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31"/>
      <c r="AD905" s="31"/>
      <c r="AE905" s="31"/>
      <c r="AF905" s="31"/>
      <c r="AG905" s="31"/>
      <c r="AH905" s="32"/>
      <c r="AI905" s="33"/>
      <c r="AJ905" s="34"/>
      <c r="AK905" s="31"/>
      <c r="AL905" s="31"/>
      <c r="AM905" s="31"/>
    </row>
    <row r="906" customFormat="false" ht="14.25" hidden="false" customHeight="true" outlineLevel="0" collapsed="false">
      <c r="A906" s="31"/>
      <c r="B906" s="189"/>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31"/>
      <c r="AD906" s="31"/>
      <c r="AE906" s="31"/>
      <c r="AF906" s="31"/>
      <c r="AG906" s="31"/>
      <c r="AH906" s="32"/>
      <c r="AI906" s="33"/>
      <c r="AJ906" s="34"/>
      <c r="AK906" s="31"/>
      <c r="AL906" s="31"/>
      <c r="AM906" s="31"/>
    </row>
    <row r="907" customFormat="false" ht="14.25" hidden="false" customHeight="true" outlineLevel="0" collapsed="false">
      <c r="A907" s="31"/>
      <c r="B907" s="189"/>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31"/>
      <c r="AD907" s="31"/>
      <c r="AE907" s="31"/>
      <c r="AF907" s="31"/>
      <c r="AG907" s="31"/>
      <c r="AH907" s="32"/>
      <c r="AI907" s="33"/>
      <c r="AJ907" s="34"/>
      <c r="AK907" s="31"/>
      <c r="AL907" s="31"/>
      <c r="AM907" s="31"/>
    </row>
    <row r="908" customFormat="false" ht="14.25" hidden="false" customHeight="true" outlineLevel="0" collapsed="false">
      <c r="A908" s="31"/>
      <c r="B908" s="189"/>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31"/>
      <c r="AD908" s="31"/>
      <c r="AE908" s="31"/>
      <c r="AF908" s="31"/>
      <c r="AG908" s="31"/>
      <c r="AH908" s="32"/>
      <c r="AI908" s="33"/>
      <c r="AJ908" s="34"/>
      <c r="AK908" s="31"/>
      <c r="AL908" s="31"/>
      <c r="AM908" s="31"/>
    </row>
    <row r="909" customFormat="false" ht="14.25" hidden="false" customHeight="true" outlineLevel="0" collapsed="false">
      <c r="A909" s="31"/>
      <c r="B909" s="189"/>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31"/>
      <c r="AD909" s="31"/>
      <c r="AE909" s="31"/>
      <c r="AF909" s="31"/>
      <c r="AG909" s="31"/>
      <c r="AH909" s="32"/>
      <c r="AI909" s="33"/>
      <c r="AJ909" s="34"/>
      <c r="AK909" s="31"/>
      <c r="AL909" s="31"/>
      <c r="AM909" s="31"/>
    </row>
    <row r="910" customFormat="false" ht="14.25" hidden="false" customHeight="true" outlineLevel="0" collapsed="false">
      <c r="A910" s="31"/>
      <c r="B910" s="189"/>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31"/>
      <c r="AD910" s="31"/>
      <c r="AE910" s="31"/>
      <c r="AF910" s="31"/>
      <c r="AG910" s="31"/>
      <c r="AH910" s="32"/>
      <c r="AI910" s="33"/>
      <c r="AJ910" s="34"/>
      <c r="AK910" s="31"/>
      <c r="AL910" s="31"/>
      <c r="AM910" s="31"/>
    </row>
    <row r="911" customFormat="false" ht="14.25" hidden="false" customHeight="true" outlineLevel="0" collapsed="false">
      <c r="A911" s="31"/>
      <c r="B911" s="189"/>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31"/>
      <c r="AD911" s="31"/>
      <c r="AE911" s="31"/>
      <c r="AF911" s="31"/>
      <c r="AG911" s="31"/>
      <c r="AH911" s="32"/>
      <c r="AI911" s="33"/>
      <c r="AJ911" s="34"/>
      <c r="AK911" s="31"/>
      <c r="AL911" s="31"/>
      <c r="AM911" s="31"/>
    </row>
    <row r="912" customFormat="false" ht="14.25" hidden="false" customHeight="true" outlineLevel="0" collapsed="false">
      <c r="A912" s="31"/>
      <c r="B912" s="189"/>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31"/>
      <c r="AD912" s="31"/>
      <c r="AE912" s="31"/>
      <c r="AF912" s="31"/>
      <c r="AG912" s="31"/>
      <c r="AH912" s="32"/>
      <c r="AI912" s="33"/>
      <c r="AJ912" s="34"/>
      <c r="AK912" s="31"/>
      <c r="AL912" s="31"/>
      <c r="AM912" s="31"/>
    </row>
    <row r="913" customFormat="false" ht="14.25" hidden="false" customHeight="true" outlineLevel="0" collapsed="false">
      <c r="A913" s="31"/>
      <c r="B913" s="189"/>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31"/>
      <c r="AD913" s="31"/>
      <c r="AE913" s="31"/>
      <c r="AF913" s="31"/>
      <c r="AG913" s="31"/>
      <c r="AH913" s="32"/>
      <c r="AI913" s="33"/>
      <c r="AJ913" s="34"/>
      <c r="AK913" s="31"/>
      <c r="AL913" s="31"/>
      <c r="AM913" s="31"/>
    </row>
    <row r="914" customFormat="false" ht="14.25" hidden="false" customHeight="true" outlineLevel="0" collapsed="false">
      <c r="A914" s="31"/>
      <c r="B914" s="189"/>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31"/>
      <c r="AD914" s="31"/>
      <c r="AE914" s="31"/>
      <c r="AF914" s="31"/>
      <c r="AG914" s="31"/>
      <c r="AH914" s="32"/>
      <c r="AI914" s="33"/>
      <c r="AJ914" s="34"/>
      <c r="AK914" s="31"/>
      <c r="AL914" s="31"/>
      <c r="AM914" s="31"/>
    </row>
    <row r="915" customFormat="false" ht="14.25" hidden="false" customHeight="true" outlineLevel="0" collapsed="false">
      <c r="A915" s="31"/>
      <c r="B915" s="189"/>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31"/>
      <c r="AD915" s="31"/>
      <c r="AE915" s="31"/>
      <c r="AF915" s="31"/>
      <c r="AG915" s="31"/>
      <c r="AH915" s="32"/>
      <c r="AI915" s="33"/>
      <c r="AJ915" s="34"/>
      <c r="AK915" s="31"/>
      <c r="AL915" s="31"/>
      <c r="AM915" s="31"/>
    </row>
    <row r="916" customFormat="false" ht="14.25" hidden="false" customHeight="true" outlineLevel="0" collapsed="false">
      <c r="A916" s="31"/>
      <c r="B916" s="189"/>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31"/>
      <c r="AD916" s="31"/>
      <c r="AE916" s="31"/>
      <c r="AF916" s="31"/>
      <c r="AG916" s="31"/>
      <c r="AH916" s="32"/>
      <c r="AI916" s="33"/>
      <c r="AJ916" s="34"/>
      <c r="AK916" s="31"/>
      <c r="AL916" s="31"/>
      <c r="AM916" s="31"/>
    </row>
    <row r="917" customFormat="false" ht="14.25" hidden="false" customHeight="true" outlineLevel="0" collapsed="false">
      <c r="A917" s="31"/>
      <c r="B917" s="189"/>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31"/>
      <c r="AD917" s="31"/>
      <c r="AE917" s="31"/>
      <c r="AF917" s="31"/>
      <c r="AG917" s="31"/>
      <c r="AH917" s="32"/>
      <c r="AI917" s="33"/>
      <c r="AJ917" s="34"/>
      <c r="AK917" s="31"/>
      <c r="AL917" s="31"/>
      <c r="AM917" s="31"/>
    </row>
    <row r="918" customFormat="false" ht="14.25" hidden="false" customHeight="true" outlineLevel="0" collapsed="false">
      <c r="A918" s="31"/>
      <c r="B918" s="189"/>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31"/>
      <c r="AD918" s="31"/>
      <c r="AE918" s="31"/>
      <c r="AF918" s="31"/>
      <c r="AG918" s="31"/>
      <c r="AH918" s="32"/>
      <c r="AI918" s="33"/>
      <c r="AJ918" s="34"/>
      <c r="AK918" s="31"/>
      <c r="AL918" s="31"/>
      <c r="AM918" s="31"/>
    </row>
    <row r="919" customFormat="false" ht="14.25" hidden="false" customHeight="true" outlineLevel="0" collapsed="false">
      <c r="A919" s="31"/>
      <c r="B919" s="189"/>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31"/>
      <c r="AD919" s="31"/>
      <c r="AE919" s="31"/>
      <c r="AF919" s="31"/>
      <c r="AG919" s="31"/>
      <c r="AH919" s="32"/>
      <c r="AI919" s="33"/>
      <c r="AJ919" s="34"/>
      <c r="AK919" s="31"/>
      <c r="AL919" s="31"/>
      <c r="AM919" s="31"/>
    </row>
    <row r="920" customFormat="false" ht="14.25" hidden="false" customHeight="true" outlineLevel="0" collapsed="false">
      <c r="A920" s="31"/>
      <c r="B920" s="189"/>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31"/>
      <c r="AD920" s="31"/>
      <c r="AE920" s="31"/>
      <c r="AF920" s="31"/>
      <c r="AG920" s="31"/>
      <c r="AH920" s="32"/>
      <c r="AI920" s="33"/>
      <c r="AJ920" s="34"/>
      <c r="AK920" s="31"/>
      <c r="AL920" s="31"/>
      <c r="AM920" s="31"/>
    </row>
    <row r="921" customFormat="false" ht="14.25" hidden="false" customHeight="true" outlineLevel="0" collapsed="false">
      <c r="A921" s="31"/>
      <c r="B921" s="189"/>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31"/>
      <c r="AD921" s="31"/>
      <c r="AE921" s="31"/>
      <c r="AF921" s="31"/>
      <c r="AG921" s="31"/>
      <c r="AH921" s="32"/>
      <c r="AI921" s="33"/>
      <c r="AJ921" s="34"/>
      <c r="AK921" s="31"/>
      <c r="AL921" s="31"/>
      <c r="AM921" s="31"/>
    </row>
    <row r="922" customFormat="false" ht="14.25" hidden="false" customHeight="true" outlineLevel="0" collapsed="false">
      <c r="A922" s="31"/>
      <c r="B922" s="189"/>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31"/>
      <c r="AD922" s="31"/>
      <c r="AE922" s="31"/>
      <c r="AF922" s="31"/>
      <c r="AG922" s="31"/>
      <c r="AH922" s="32"/>
      <c r="AI922" s="33"/>
      <c r="AJ922" s="34"/>
      <c r="AK922" s="31"/>
      <c r="AL922" s="31"/>
      <c r="AM922" s="31"/>
    </row>
    <row r="923" customFormat="false" ht="14.25" hidden="false" customHeight="true" outlineLevel="0" collapsed="false">
      <c r="A923" s="31"/>
      <c r="B923" s="189"/>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31"/>
      <c r="AD923" s="31"/>
      <c r="AE923" s="31"/>
      <c r="AF923" s="31"/>
      <c r="AG923" s="31"/>
      <c r="AH923" s="32"/>
      <c r="AI923" s="33"/>
      <c r="AJ923" s="34"/>
      <c r="AK923" s="31"/>
      <c r="AL923" s="31"/>
      <c r="AM923" s="31"/>
    </row>
    <row r="924" customFormat="false" ht="14.25" hidden="false" customHeight="true" outlineLevel="0" collapsed="false">
      <c r="A924" s="31"/>
      <c r="B924" s="189"/>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31"/>
      <c r="AD924" s="31"/>
      <c r="AE924" s="31"/>
      <c r="AF924" s="31"/>
      <c r="AG924" s="31"/>
      <c r="AH924" s="32"/>
      <c r="AI924" s="33"/>
      <c r="AJ924" s="34"/>
      <c r="AK924" s="31"/>
      <c r="AL924" s="31"/>
      <c r="AM924" s="31"/>
    </row>
    <row r="925" customFormat="false" ht="14.25" hidden="false" customHeight="true" outlineLevel="0" collapsed="false">
      <c r="A925" s="31"/>
      <c r="B925" s="189"/>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31"/>
      <c r="AD925" s="31"/>
      <c r="AE925" s="31"/>
      <c r="AF925" s="31"/>
      <c r="AG925" s="31"/>
      <c r="AH925" s="32"/>
      <c r="AI925" s="33"/>
      <c r="AJ925" s="34"/>
      <c r="AK925" s="31"/>
      <c r="AL925" s="31"/>
      <c r="AM925" s="31"/>
    </row>
    <row r="926" customFormat="false" ht="14.25" hidden="false" customHeight="true" outlineLevel="0" collapsed="false">
      <c r="A926" s="31"/>
      <c r="B926" s="189"/>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31"/>
      <c r="AD926" s="31"/>
      <c r="AE926" s="31"/>
      <c r="AF926" s="31"/>
      <c r="AG926" s="31"/>
      <c r="AH926" s="32"/>
      <c r="AI926" s="33"/>
      <c r="AJ926" s="34"/>
      <c r="AK926" s="31"/>
      <c r="AL926" s="31"/>
      <c r="AM926" s="31"/>
    </row>
    <row r="927" customFormat="false" ht="14.25" hidden="false" customHeight="true" outlineLevel="0" collapsed="false">
      <c r="A927" s="31"/>
      <c r="B927" s="189"/>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31"/>
      <c r="AD927" s="31"/>
      <c r="AE927" s="31"/>
      <c r="AF927" s="31"/>
      <c r="AG927" s="31"/>
      <c r="AH927" s="32"/>
      <c r="AI927" s="33"/>
      <c r="AJ927" s="34"/>
      <c r="AK927" s="31"/>
      <c r="AL927" s="31"/>
      <c r="AM927" s="31"/>
    </row>
    <row r="928" customFormat="false" ht="14.25" hidden="false" customHeight="true" outlineLevel="0" collapsed="false">
      <c r="A928" s="31"/>
      <c r="B928" s="189"/>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31"/>
      <c r="AD928" s="31"/>
      <c r="AE928" s="31"/>
      <c r="AF928" s="31"/>
      <c r="AG928" s="31"/>
      <c r="AH928" s="32"/>
      <c r="AI928" s="33"/>
      <c r="AJ928" s="34"/>
      <c r="AK928" s="31"/>
      <c r="AL928" s="31"/>
      <c r="AM928" s="31"/>
    </row>
    <row r="929" customFormat="false" ht="14.25" hidden="false" customHeight="true" outlineLevel="0" collapsed="false">
      <c r="A929" s="31"/>
      <c r="B929" s="189"/>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31"/>
      <c r="AD929" s="31"/>
      <c r="AE929" s="31"/>
      <c r="AF929" s="31"/>
      <c r="AG929" s="31"/>
      <c r="AH929" s="32"/>
      <c r="AI929" s="33"/>
      <c r="AJ929" s="34"/>
      <c r="AK929" s="31"/>
      <c r="AL929" s="31"/>
      <c r="AM929" s="31"/>
    </row>
    <row r="930" customFormat="false" ht="14.25" hidden="false" customHeight="true" outlineLevel="0" collapsed="false">
      <c r="A930" s="31"/>
      <c r="B930" s="189"/>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31"/>
      <c r="AD930" s="31"/>
      <c r="AE930" s="31"/>
      <c r="AF930" s="31"/>
      <c r="AG930" s="31"/>
      <c r="AH930" s="32"/>
      <c r="AI930" s="33"/>
      <c r="AJ930" s="34"/>
      <c r="AK930" s="31"/>
      <c r="AL930" s="31"/>
      <c r="AM930" s="31"/>
    </row>
    <row r="931" customFormat="false" ht="14.25" hidden="false" customHeight="true" outlineLevel="0" collapsed="false">
      <c r="A931" s="31"/>
      <c r="B931" s="189"/>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31"/>
      <c r="AD931" s="31"/>
      <c r="AE931" s="31"/>
      <c r="AF931" s="31"/>
      <c r="AG931" s="31"/>
      <c r="AH931" s="32"/>
      <c r="AI931" s="33"/>
      <c r="AJ931" s="34"/>
      <c r="AK931" s="31"/>
      <c r="AL931" s="31"/>
      <c r="AM931" s="31"/>
    </row>
    <row r="932" customFormat="false" ht="14.25" hidden="false" customHeight="true" outlineLevel="0" collapsed="false">
      <c r="A932" s="31"/>
      <c r="B932" s="189"/>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31"/>
      <c r="AD932" s="31"/>
      <c r="AE932" s="31"/>
      <c r="AF932" s="31"/>
      <c r="AG932" s="31"/>
      <c r="AH932" s="32"/>
      <c r="AI932" s="33"/>
      <c r="AJ932" s="34"/>
      <c r="AK932" s="31"/>
      <c r="AL932" s="31"/>
      <c r="AM932" s="31"/>
    </row>
    <row r="933" customFormat="false" ht="14.25" hidden="false" customHeight="true" outlineLevel="0" collapsed="false">
      <c r="A933" s="31"/>
      <c r="B933" s="189"/>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31"/>
      <c r="AD933" s="31"/>
      <c r="AE933" s="31"/>
      <c r="AF933" s="31"/>
      <c r="AG933" s="31"/>
      <c r="AH933" s="32"/>
      <c r="AI933" s="33"/>
      <c r="AJ933" s="34"/>
      <c r="AK933" s="31"/>
      <c r="AL933" s="31"/>
      <c r="AM933" s="31"/>
    </row>
    <row r="934" customFormat="false" ht="14.25" hidden="false" customHeight="true" outlineLevel="0" collapsed="false">
      <c r="A934" s="31"/>
      <c r="B934" s="189"/>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31"/>
      <c r="AD934" s="31"/>
      <c r="AE934" s="31"/>
      <c r="AF934" s="31"/>
      <c r="AG934" s="31"/>
      <c r="AH934" s="32"/>
      <c r="AI934" s="33"/>
      <c r="AJ934" s="34"/>
      <c r="AK934" s="31"/>
      <c r="AL934" s="31"/>
      <c r="AM934" s="31"/>
    </row>
    <row r="935" customFormat="false" ht="14.25" hidden="false" customHeight="true" outlineLevel="0" collapsed="false">
      <c r="A935" s="31"/>
      <c r="B935" s="189"/>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31"/>
      <c r="AD935" s="31"/>
      <c r="AE935" s="31"/>
      <c r="AF935" s="31"/>
      <c r="AG935" s="31"/>
      <c r="AH935" s="32"/>
      <c r="AI935" s="33"/>
      <c r="AJ935" s="34"/>
      <c r="AK935" s="31"/>
      <c r="AL935" s="31"/>
      <c r="AM935" s="31"/>
    </row>
    <row r="936" customFormat="false" ht="14.25" hidden="false" customHeight="true" outlineLevel="0" collapsed="false">
      <c r="A936" s="31"/>
      <c r="B936" s="189"/>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31"/>
      <c r="AD936" s="31"/>
      <c r="AE936" s="31"/>
      <c r="AF936" s="31"/>
      <c r="AG936" s="31"/>
      <c r="AH936" s="32"/>
      <c r="AI936" s="33"/>
      <c r="AJ936" s="34"/>
      <c r="AK936" s="31"/>
      <c r="AL936" s="31"/>
      <c r="AM936" s="31"/>
    </row>
    <row r="937" customFormat="false" ht="14.25" hidden="false" customHeight="true" outlineLevel="0" collapsed="false">
      <c r="A937" s="31"/>
      <c r="B937" s="189"/>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31"/>
      <c r="AD937" s="31"/>
      <c r="AE937" s="31"/>
      <c r="AF937" s="31"/>
      <c r="AG937" s="31"/>
      <c r="AH937" s="32"/>
      <c r="AI937" s="33"/>
      <c r="AJ937" s="34"/>
      <c r="AK937" s="31"/>
      <c r="AL937" s="31"/>
      <c r="AM937" s="31"/>
    </row>
    <row r="938" customFormat="false" ht="14.25" hidden="false" customHeight="true" outlineLevel="0" collapsed="false">
      <c r="A938" s="31"/>
      <c r="B938" s="189"/>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31"/>
      <c r="AD938" s="31"/>
      <c r="AE938" s="31"/>
      <c r="AF938" s="31"/>
      <c r="AG938" s="31"/>
      <c r="AH938" s="32"/>
      <c r="AI938" s="33"/>
      <c r="AJ938" s="34"/>
      <c r="AK938" s="31"/>
      <c r="AL938" s="31"/>
      <c r="AM938" s="31"/>
    </row>
    <row r="939" customFormat="false" ht="14.25" hidden="false" customHeight="true" outlineLevel="0" collapsed="false">
      <c r="A939" s="31"/>
      <c r="B939" s="189"/>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31"/>
      <c r="AD939" s="31"/>
      <c r="AE939" s="31"/>
      <c r="AF939" s="31"/>
      <c r="AG939" s="31"/>
      <c r="AH939" s="32"/>
      <c r="AI939" s="33"/>
      <c r="AJ939" s="34"/>
      <c r="AK939" s="31"/>
      <c r="AL939" s="31"/>
      <c r="AM939" s="31"/>
    </row>
    <row r="940" customFormat="false" ht="14.25" hidden="false" customHeight="true" outlineLevel="0" collapsed="false">
      <c r="A940" s="31"/>
      <c r="B940" s="189"/>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31"/>
      <c r="AD940" s="31"/>
      <c r="AE940" s="31"/>
      <c r="AF940" s="31"/>
      <c r="AG940" s="31"/>
      <c r="AH940" s="32"/>
      <c r="AI940" s="33"/>
      <c r="AJ940" s="34"/>
      <c r="AK940" s="31"/>
      <c r="AL940" s="31"/>
      <c r="AM940" s="31"/>
    </row>
    <row r="941" customFormat="false" ht="14.25" hidden="false" customHeight="true" outlineLevel="0" collapsed="false">
      <c r="A941" s="31"/>
      <c r="B941" s="189"/>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31"/>
      <c r="AD941" s="31"/>
      <c r="AE941" s="31"/>
      <c r="AF941" s="31"/>
      <c r="AG941" s="31"/>
      <c r="AH941" s="32"/>
      <c r="AI941" s="33"/>
      <c r="AJ941" s="34"/>
      <c r="AK941" s="31"/>
      <c r="AL941" s="31"/>
      <c r="AM941" s="31"/>
    </row>
    <row r="942" customFormat="false" ht="14.25" hidden="false" customHeight="true" outlineLevel="0" collapsed="false">
      <c r="A942" s="31"/>
      <c r="B942" s="189"/>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31"/>
      <c r="AD942" s="31"/>
      <c r="AE942" s="31"/>
      <c r="AF942" s="31"/>
      <c r="AG942" s="31"/>
      <c r="AH942" s="32"/>
      <c r="AI942" s="33"/>
      <c r="AJ942" s="34"/>
      <c r="AK942" s="31"/>
      <c r="AL942" s="31"/>
      <c r="AM942" s="31"/>
    </row>
    <row r="943" customFormat="false" ht="14.25" hidden="false" customHeight="true" outlineLevel="0" collapsed="false">
      <c r="A943" s="31"/>
      <c r="B943" s="189"/>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31"/>
      <c r="AD943" s="31"/>
      <c r="AE943" s="31"/>
      <c r="AF943" s="31"/>
      <c r="AG943" s="31"/>
      <c r="AH943" s="32"/>
      <c r="AI943" s="33"/>
      <c r="AJ943" s="34"/>
      <c r="AK943" s="31"/>
      <c r="AL943" s="31"/>
      <c r="AM943" s="31"/>
    </row>
    <row r="944" customFormat="false" ht="14.25" hidden="false" customHeight="true" outlineLevel="0" collapsed="false">
      <c r="A944" s="31"/>
      <c r="B944" s="189"/>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31"/>
      <c r="AD944" s="31"/>
      <c r="AE944" s="31"/>
      <c r="AF944" s="31"/>
      <c r="AG944" s="31"/>
      <c r="AH944" s="32"/>
      <c r="AI944" s="33"/>
      <c r="AJ944" s="34"/>
      <c r="AK944" s="31"/>
      <c r="AL944" s="31"/>
      <c r="AM944" s="31"/>
    </row>
    <row r="945" customFormat="false" ht="14.25" hidden="false" customHeight="true" outlineLevel="0" collapsed="false">
      <c r="A945" s="31"/>
      <c r="B945" s="189"/>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31"/>
      <c r="AD945" s="31"/>
      <c r="AE945" s="31"/>
      <c r="AF945" s="31"/>
      <c r="AG945" s="31"/>
      <c r="AH945" s="32"/>
      <c r="AI945" s="33"/>
      <c r="AJ945" s="34"/>
      <c r="AK945" s="31"/>
      <c r="AL945" s="31"/>
      <c r="AM945" s="31"/>
    </row>
    <row r="946" customFormat="false" ht="14.25" hidden="false" customHeight="true" outlineLevel="0" collapsed="false">
      <c r="A946" s="31"/>
      <c r="B946" s="189"/>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31"/>
      <c r="AD946" s="31"/>
      <c r="AE946" s="31"/>
      <c r="AF946" s="31"/>
      <c r="AG946" s="31"/>
      <c r="AH946" s="32"/>
      <c r="AI946" s="33"/>
      <c r="AJ946" s="34"/>
      <c r="AK946" s="31"/>
      <c r="AL946" s="31"/>
      <c r="AM946" s="31"/>
    </row>
    <row r="947" customFormat="false" ht="14.25" hidden="false" customHeight="true" outlineLevel="0" collapsed="false">
      <c r="A947" s="31"/>
      <c r="B947" s="189"/>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31"/>
      <c r="AD947" s="31"/>
      <c r="AE947" s="31"/>
      <c r="AF947" s="31"/>
      <c r="AG947" s="31"/>
      <c r="AH947" s="32"/>
      <c r="AI947" s="33"/>
      <c r="AJ947" s="34"/>
      <c r="AK947" s="31"/>
      <c r="AL947" s="31"/>
      <c r="AM947" s="31"/>
    </row>
    <row r="948" customFormat="false" ht="14.25" hidden="false" customHeight="true" outlineLevel="0" collapsed="false">
      <c r="A948" s="31"/>
      <c r="B948" s="189"/>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31"/>
      <c r="AD948" s="31"/>
      <c r="AE948" s="31"/>
      <c r="AF948" s="31"/>
      <c r="AG948" s="31"/>
      <c r="AH948" s="32"/>
      <c r="AI948" s="33"/>
      <c r="AJ948" s="34"/>
      <c r="AK948" s="31"/>
      <c r="AL948" s="31"/>
      <c r="AM948" s="31"/>
    </row>
    <row r="949" customFormat="false" ht="14.25" hidden="false" customHeight="true" outlineLevel="0" collapsed="false">
      <c r="A949" s="31"/>
      <c r="B949" s="189"/>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31"/>
      <c r="AD949" s="31"/>
      <c r="AE949" s="31"/>
      <c r="AF949" s="31"/>
      <c r="AG949" s="31"/>
      <c r="AH949" s="32"/>
      <c r="AI949" s="33"/>
      <c r="AJ949" s="34"/>
      <c r="AK949" s="31"/>
      <c r="AL949" s="31"/>
      <c r="AM949" s="31"/>
    </row>
    <row r="950" customFormat="false" ht="14.25" hidden="false" customHeight="true" outlineLevel="0" collapsed="false">
      <c r="A950" s="31"/>
      <c r="B950" s="189"/>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31"/>
      <c r="AD950" s="31"/>
      <c r="AE950" s="31"/>
      <c r="AF950" s="31"/>
      <c r="AG950" s="31"/>
      <c r="AH950" s="32"/>
      <c r="AI950" s="33"/>
      <c r="AJ950" s="34"/>
      <c r="AK950" s="31"/>
      <c r="AL950" s="31"/>
      <c r="AM950" s="31"/>
    </row>
    <row r="951" customFormat="false" ht="14.25" hidden="false" customHeight="true" outlineLevel="0" collapsed="false">
      <c r="A951" s="31"/>
      <c r="B951" s="189"/>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31"/>
      <c r="AD951" s="31"/>
      <c r="AE951" s="31"/>
      <c r="AF951" s="31"/>
      <c r="AG951" s="31"/>
      <c r="AH951" s="32"/>
      <c r="AI951" s="33"/>
      <c r="AJ951" s="34"/>
      <c r="AK951" s="31"/>
      <c r="AL951" s="31"/>
      <c r="AM951" s="31"/>
    </row>
    <row r="952" customFormat="false" ht="14.25" hidden="false" customHeight="true" outlineLevel="0" collapsed="false">
      <c r="A952" s="31"/>
      <c r="B952" s="189"/>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31"/>
      <c r="AD952" s="31"/>
      <c r="AE952" s="31"/>
      <c r="AF952" s="31"/>
      <c r="AG952" s="31"/>
      <c r="AH952" s="32"/>
      <c r="AI952" s="33"/>
      <c r="AJ952" s="34"/>
      <c r="AK952" s="31"/>
      <c r="AL952" s="31"/>
      <c r="AM952" s="31"/>
    </row>
    <row r="953" customFormat="false" ht="14.25" hidden="false" customHeight="true" outlineLevel="0" collapsed="false">
      <c r="A953" s="31"/>
      <c r="B953" s="189"/>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31"/>
      <c r="AD953" s="31"/>
      <c r="AE953" s="31"/>
      <c r="AF953" s="31"/>
      <c r="AG953" s="31"/>
      <c r="AH953" s="32"/>
      <c r="AI953" s="33"/>
      <c r="AJ953" s="34"/>
      <c r="AK953" s="31"/>
      <c r="AL953" s="31"/>
      <c r="AM953" s="31"/>
    </row>
    <row r="954" customFormat="false" ht="14.25" hidden="false" customHeight="true" outlineLevel="0" collapsed="false">
      <c r="A954" s="31"/>
      <c r="B954" s="189"/>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31"/>
      <c r="AD954" s="31"/>
      <c r="AE954" s="31"/>
      <c r="AF954" s="31"/>
      <c r="AG954" s="31"/>
      <c r="AH954" s="32"/>
      <c r="AI954" s="33"/>
      <c r="AJ954" s="34"/>
      <c r="AK954" s="31"/>
      <c r="AL954" s="31"/>
      <c r="AM954" s="31"/>
    </row>
    <row r="955" customFormat="false" ht="14.25" hidden="false" customHeight="true" outlineLevel="0" collapsed="false">
      <c r="A955" s="31"/>
      <c r="B955" s="189"/>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31"/>
      <c r="AD955" s="31"/>
      <c r="AE955" s="31"/>
      <c r="AF955" s="31"/>
      <c r="AG955" s="31"/>
      <c r="AH955" s="32"/>
      <c r="AI955" s="33"/>
      <c r="AJ955" s="34"/>
      <c r="AK955" s="31"/>
      <c r="AL955" s="31"/>
      <c r="AM955" s="31"/>
    </row>
    <row r="956" customFormat="false" ht="14.25" hidden="false" customHeight="true" outlineLevel="0" collapsed="false">
      <c r="A956" s="31"/>
      <c r="B956" s="189"/>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31"/>
      <c r="AD956" s="31"/>
      <c r="AE956" s="31"/>
      <c r="AF956" s="31"/>
      <c r="AG956" s="31"/>
      <c r="AH956" s="32"/>
      <c r="AI956" s="33"/>
      <c r="AJ956" s="34"/>
      <c r="AK956" s="31"/>
      <c r="AL956" s="31"/>
      <c r="AM956" s="31"/>
    </row>
    <row r="957" customFormat="false" ht="14.25" hidden="false" customHeight="true" outlineLevel="0" collapsed="false">
      <c r="A957" s="31"/>
      <c r="B957" s="189"/>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31"/>
      <c r="AD957" s="31"/>
      <c r="AE957" s="31"/>
      <c r="AF957" s="31"/>
      <c r="AG957" s="31"/>
      <c r="AH957" s="32"/>
      <c r="AI957" s="33"/>
      <c r="AJ957" s="34"/>
      <c r="AK957" s="31"/>
      <c r="AL957" s="31"/>
      <c r="AM957" s="31"/>
    </row>
    <row r="958" customFormat="false" ht="14.25" hidden="false" customHeight="true" outlineLevel="0" collapsed="false">
      <c r="A958" s="31"/>
      <c r="B958" s="189"/>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31"/>
      <c r="AD958" s="31"/>
      <c r="AE958" s="31"/>
      <c r="AF958" s="31"/>
      <c r="AG958" s="31"/>
      <c r="AH958" s="32"/>
      <c r="AI958" s="33"/>
      <c r="AJ958" s="34"/>
      <c r="AK958" s="31"/>
      <c r="AL958" s="31"/>
      <c r="AM958" s="31"/>
    </row>
    <row r="959" customFormat="false" ht="14.25" hidden="false" customHeight="true" outlineLevel="0" collapsed="false">
      <c r="A959" s="31"/>
      <c r="B959" s="189"/>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31"/>
      <c r="AD959" s="31"/>
      <c r="AE959" s="31"/>
      <c r="AF959" s="31"/>
      <c r="AG959" s="31"/>
      <c r="AH959" s="32"/>
      <c r="AI959" s="33"/>
      <c r="AJ959" s="34"/>
      <c r="AK959" s="31"/>
      <c r="AL959" s="31"/>
      <c r="AM959" s="31"/>
    </row>
    <row r="960" customFormat="false" ht="14.25" hidden="false" customHeight="true" outlineLevel="0" collapsed="false">
      <c r="A960" s="31"/>
      <c r="B960" s="189"/>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31"/>
      <c r="AD960" s="31"/>
      <c r="AE960" s="31"/>
      <c r="AF960" s="31"/>
      <c r="AG960" s="31"/>
      <c r="AH960" s="32"/>
      <c r="AI960" s="33"/>
      <c r="AJ960" s="34"/>
      <c r="AK960" s="31"/>
      <c r="AL960" s="31"/>
      <c r="AM960" s="31"/>
    </row>
    <row r="961" customFormat="false" ht="14.25" hidden="false" customHeight="true" outlineLevel="0" collapsed="false">
      <c r="A961" s="31"/>
      <c r="B961" s="189"/>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31"/>
      <c r="AD961" s="31"/>
      <c r="AE961" s="31"/>
      <c r="AF961" s="31"/>
      <c r="AG961" s="31"/>
      <c r="AH961" s="32"/>
      <c r="AI961" s="33"/>
      <c r="AJ961" s="34"/>
      <c r="AK961" s="31"/>
      <c r="AL961" s="31"/>
      <c r="AM961" s="31"/>
    </row>
    <row r="962" customFormat="false" ht="14.25" hidden="false" customHeight="true" outlineLevel="0" collapsed="false">
      <c r="A962" s="31"/>
      <c r="B962" s="189"/>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31"/>
      <c r="AD962" s="31"/>
      <c r="AE962" s="31"/>
      <c r="AF962" s="31"/>
      <c r="AG962" s="31"/>
      <c r="AH962" s="32"/>
      <c r="AI962" s="33"/>
      <c r="AJ962" s="34"/>
      <c r="AK962" s="31"/>
      <c r="AL962" s="31"/>
      <c r="AM962" s="31"/>
    </row>
    <row r="963" customFormat="false" ht="14.25" hidden="false" customHeight="true" outlineLevel="0" collapsed="false">
      <c r="A963" s="31"/>
      <c r="B963" s="189"/>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31"/>
      <c r="AD963" s="31"/>
      <c r="AE963" s="31"/>
      <c r="AF963" s="31"/>
      <c r="AG963" s="31"/>
      <c r="AH963" s="32"/>
      <c r="AI963" s="33"/>
      <c r="AJ963" s="34"/>
      <c r="AK963" s="31"/>
      <c r="AL963" s="31"/>
      <c r="AM963" s="31"/>
    </row>
    <row r="964" customFormat="false" ht="14.25" hidden="false" customHeight="true" outlineLevel="0" collapsed="false">
      <c r="A964" s="31"/>
      <c r="B964" s="189"/>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31"/>
      <c r="AD964" s="31"/>
      <c r="AE964" s="31"/>
      <c r="AF964" s="31"/>
      <c r="AG964" s="31"/>
      <c r="AH964" s="32"/>
      <c r="AI964" s="33"/>
      <c r="AJ964" s="34"/>
      <c r="AK964" s="31"/>
      <c r="AL964" s="31"/>
      <c r="AM964" s="31"/>
    </row>
    <row r="965" customFormat="false" ht="14.25" hidden="false" customHeight="true" outlineLevel="0" collapsed="false">
      <c r="A965" s="31"/>
      <c r="B965" s="189"/>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31"/>
      <c r="AD965" s="31"/>
      <c r="AE965" s="31"/>
      <c r="AF965" s="31"/>
      <c r="AG965" s="31"/>
      <c r="AH965" s="32"/>
      <c r="AI965" s="33"/>
      <c r="AJ965" s="34"/>
      <c r="AK965" s="31"/>
      <c r="AL965" s="31"/>
      <c r="AM965" s="31"/>
    </row>
    <row r="966" customFormat="false" ht="14.25" hidden="false" customHeight="true" outlineLevel="0" collapsed="false">
      <c r="A966" s="31"/>
      <c r="B966" s="189"/>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31"/>
      <c r="AD966" s="31"/>
      <c r="AE966" s="31"/>
      <c r="AF966" s="31"/>
      <c r="AG966" s="31"/>
      <c r="AH966" s="32"/>
      <c r="AI966" s="33"/>
      <c r="AJ966" s="34"/>
      <c r="AK966" s="31"/>
      <c r="AL966" s="31"/>
      <c r="AM966" s="31"/>
    </row>
    <row r="967" customFormat="false" ht="14.25" hidden="false" customHeight="true" outlineLevel="0" collapsed="false">
      <c r="A967" s="31"/>
      <c r="B967" s="189"/>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31"/>
      <c r="AD967" s="31"/>
      <c r="AE967" s="31"/>
      <c r="AF967" s="31"/>
      <c r="AG967" s="31"/>
      <c r="AH967" s="32"/>
      <c r="AI967" s="33"/>
      <c r="AJ967" s="34"/>
      <c r="AK967" s="31"/>
      <c r="AL967" s="31"/>
      <c r="AM967" s="31"/>
    </row>
    <row r="968" customFormat="false" ht="14.25" hidden="false" customHeight="true" outlineLevel="0" collapsed="false">
      <c r="A968" s="31"/>
      <c r="B968" s="189"/>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31"/>
      <c r="AD968" s="31"/>
      <c r="AE968" s="31"/>
      <c r="AF968" s="31"/>
      <c r="AG968" s="31"/>
      <c r="AH968" s="32"/>
      <c r="AI968" s="33"/>
      <c r="AJ968" s="34"/>
      <c r="AK968" s="31"/>
      <c r="AL968" s="31"/>
      <c r="AM968" s="31"/>
    </row>
    <row r="969" customFormat="false" ht="14.25" hidden="false" customHeight="true" outlineLevel="0" collapsed="false">
      <c r="A969" s="31"/>
      <c r="B969" s="189"/>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31"/>
      <c r="AD969" s="31"/>
      <c r="AE969" s="31"/>
      <c r="AF969" s="31"/>
      <c r="AG969" s="31"/>
      <c r="AH969" s="32"/>
      <c r="AI969" s="33"/>
      <c r="AJ969" s="34"/>
      <c r="AK969" s="31"/>
      <c r="AL969" s="31"/>
      <c r="AM969" s="31"/>
    </row>
    <row r="970" customFormat="false" ht="14.25" hidden="false" customHeight="true" outlineLevel="0" collapsed="false">
      <c r="A970" s="31"/>
      <c r="B970" s="189"/>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31"/>
      <c r="AD970" s="31"/>
      <c r="AE970" s="31"/>
      <c r="AF970" s="31"/>
      <c r="AG970" s="31"/>
      <c r="AH970" s="32"/>
      <c r="AI970" s="33"/>
      <c r="AJ970" s="34"/>
      <c r="AK970" s="31"/>
      <c r="AL970" s="31"/>
      <c r="AM970" s="31"/>
    </row>
    <row r="971" customFormat="false" ht="14.25" hidden="false" customHeight="true" outlineLevel="0" collapsed="false">
      <c r="A971" s="31"/>
      <c r="B971" s="189"/>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31"/>
      <c r="AD971" s="31"/>
      <c r="AE971" s="31"/>
      <c r="AF971" s="31"/>
      <c r="AG971" s="31"/>
      <c r="AH971" s="32"/>
      <c r="AI971" s="33"/>
      <c r="AJ971" s="34"/>
      <c r="AK971" s="31"/>
      <c r="AL971" s="31"/>
      <c r="AM971" s="31"/>
    </row>
    <row r="972" customFormat="false" ht="14.25" hidden="false" customHeight="true" outlineLevel="0" collapsed="false">
      <c r="A972" s="31"/>
      <c r="B972" s="189"/>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31"/>
      <c r="AD972" s="31"/>
      <c r="AE972" s="31"/>
      <c r="AF972" s="31"/>
      <c r="AG972" s="31"/>
      <c r="AH972" s="32"/>
      <c r="AI972" s="33"/>
      <c r="AJ972" s="34"/>
      <c r="AK972" s="31"/>
      <c r="AL972" s="31"/>
      <c r="AM972" s="31"/>
    </row>
    <row r="973" customFormat="false" ht="14.25" hidden="false" customHeight="true" outlineLevel="0" collapsed="false">
      <c r="A973" s="31"/>
      <c r="B973" s="189"/>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31"/>
      <c r="AD973" s="31"/>
      <c r="AE973" s="31"/>
      <c r="AF973" s="31"/>
      <c r="AG973" s="31"/>
      <c r="AH973" s="32"/>
      <c r="AI973" s="33"/>
      <c r="AJ973" s="34"/>
      <c r="AK973" s="31"/>
      <c r="AL973" s="31"/>
      <c r="AM973" s="31"/>
    </row>
    <row r="974" customFormat="false" ht="14.25" hidden="false" customHeight="true" outlineLevel="0" collapsed="false">
      <c r="A974" s="31"/>
      <c r="B974" s="189"/>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31"/>
      <c r="AD974" s="31"/>
      <c r="AE974" s="31"/>
      <c r="AF974" s="31"/>
      <c r="AG974" s="31"/>
      <c r="AH974" s="32"/>
      <c r="AI974" s="33"/>
      <c r="AJ974" s="34"/>
      <c r="AK974" s="31"/>
      <c r="AL974" s="31"/>
      <c r="AM974" s="31"/>
    </row>
    <row r="975" customFormat="false" ht="14.25" hidden="false" customHeight="true" outlineLevel="0" collapsed="false">
      <c r="A975" s="31"/>
      <c r="B975" s="189"/>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31"/>
      <c r="AD975" s="31"/>
      <c r="AE975" s="31"/>
      <c r="AF975" s="31"/>
      <c r="AG975" s="31"/>
      <c r="AH975" s="32"/>
      <c r="AI975" s="33"/>
      <c r="AJ975" s="34"/>
      <c r="AK975" s="31"/>
      <c r="AL975" s="31"/>
      <c r="AM975" s="31"/>
    </row>
    <row r="976" customFormat="false" ht="14.25" hidden="false" customHeight="true" outlineLevel="0" collapsed="false">
      <c r="A976" s="31"/>
      <c r="B976" s="189"/>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31"/>
      <c r="AD976" s="31"/>
      <c r="AE976" s="31"/>
      <c r="AF976" s="31"/>
      <c r="AG976" s="31"/>
      <c r="AH976" s="32"/>
      <c r="AI976" s="33"/>
      <c r="AJ976" s="34"/>
      <c r="AK976" s="31"/>
      <c r="AL976" s="31"/>
      <c r="AM976" s="31"/>
    </row>
    <row r="977" customFormat="false" ht="14.25" hidden="false" customHeight="true" outlineLevel="0" collapsed="false">
      <c r="A977" s="31"/>
      <c r="B977" s="189"/>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31"/>
      <c r="AD977" s="31"/>
      <c r="AE977" s="31"/>
      <c r="AF977" s="31"/>
      <c r="AG977" s="31"/>
      <c r="AH977" s="32"/>
      <c r="AI977" s="33"/>
      <c r="AJ977" s="34"/>
      <c r="AK977" s="31"/>
      <c r="AL977" s="31"/>
      <c r="AM977" s="31"/>
    </row>
    <row r="978" customFormat="false" ht="14.25" hidden="false" customHeight="true" outlineLevel="0" collapsed="false">
      <c r="A978" s="31"/>
      <c r="B978" s="189"/>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31"/>
      <c r="AD978" s="31"/>
      <c r="AE978" s="31"/>
      <c r="AF978" s="31"/>
      <c r="AG978" s="31"/>
      <c r="AH978" s="32"/>
      <c r="AI978" s="33"/>
      <c r="AJ978" s="34"/>
      <c r="AK978" s="31"/>
      <c r="AL978" s="31"/>
      <c r="AM978" s="31"/>
    </row>
    <row r="979" customFormat="false" ht="14.25" hidden="false" customHeight="true" outlineLevel="0" collapsed="false">
      <c r="A979" s="31"/>
      <c r="B979" s="189"/>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31"/>
      <c r="AD979" s="31"/>
      <c r="AE979" s="31"/>
      <c r="AF979" s="31"/>
      <c r="AG979" s="31"/>
      <c r="AH979" s="32"/>
      <c r="AI979" s="33"/>
      <c r="AJ979" s="34"/>
      <c r="AK979" s="31"/>
      <c r="AL979" s="31"/>
      <c r="AM979" s="31"/>
    </row>
    <row r="980" customFormat="false" ht="14.25" hidden="false" customHeight="true" outlineLevel="0" collapsed="false">
      <c r="A980" s="31"/>
      <c r="B980" s="189"/>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31"/>
      <c r="AD980" s="31"/>
      <c r="AE980" s="31"/>
      <c r="AF980" s="31"/>
      <c r="AG980" s="31"/>
      <c r="AH980" s="32"/>
      <c r="AI980" s="33"/>
      <c r="AJ980" s="34"/>
      <c r="AK980" s="31"/>
      <c r="AL980" s="31"/>
      <c r="AM980" s="31"/>
    </row>
    <row r="981" customFormat="false" ht="14.25" hidden="false" customHeight="true" outlineLevel="0" collapsed="false">
      <c r="A981" s="31"/>
      <c r="B981" s="189"/>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31"/>
      <c r="AD981" s="31"/>
      <c r="AE981" s="31"/>
      <c r="AF981" s="31"/>
      <c r="AG981" s="31"/>
      <c r="AH981" s="32"/>
      <c r="AI981" s="33"/>
      <c r="AJ981" s="34"/>
      <c r="AK981" s="31"/>
      <c r="AL981" s="31"/>
      <c r="AM981" s="31"/>
    </row>
    <row r="982" customFormat="false" ht="14.25" hidden="false" customHeight="true" outlineLevel="0" collapsed="false">
      <c r="A982" s="31"/>
      <c r="B982" s="189"/>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31"/>
      <c r="AD982" s="31"/>
      <c r="AE982" s="31"/>
      <c r="AF982" s="31"/>
      <c r="AG982" s="31"/>
      <c r="AH982" s="32"/>
      <c r="AI982" s="33"/>
      <c r="AJ982" s="34"/>
      <c r="AK982" s="31"/>
      <c r="AL982" s="31"/>
      <c r="AM982" s="31"/>
    </row>
    <row r="983" customFormat="false" ht="14.25" hidden="false" customHeight="true" outlineLevel="0" collapsed="false">
      <c r="A983" s="31"/>
      <c r="B983" s="189"/>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31"/>
      <c r="AD983" s="31"/>
      <c r="AE983" s="31"/>
      <c r="AF983" s="31"/>
      <c r="AG983" s="31"/>
      <c r="AH983" s="32"/>
      <c r="AI983" s="33"/>
      <c r="AJ983" s="34"/>
      <c r="AK983" s="31"/>
      <c r="AL983" s="31"/>
      <c r="AM983" s="31"/>
    </row>
    <row r="984" customFormat="false" ht="14.25" hidden="false" customHeight="true" outlineLevel="0" collapsed="false">
      <c r="A984" s="31"/>
      <c r="B984" s="189"/>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31"/>
      <c r="AD984" s="31"/>
      <c r="AE984" s="31"/>
      <c r="AF984" s="31"/>
      <c r="AG984" s="31"/>
      <c r="AH984" s="32"/>
      <c r="AI984" s="33"/>
      <c r="AJ984" s="34"/>
      <c r="AK984" s="31"/>
      <c r="AL984" s="31"/>
      <c r="AM984" s="31"/>
    </row>
    <row r="985" customFormat="false" ht="14.25" hidden="false" customHeight="true" outlineLevel="0" collapsed="false">
      <c r="A985" s="31"/>
      <c r="B985" s="189"/>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31"/>
      <c r="AD985" s="31"/>
      <c r="AE985" s="31"/>
      <c r="AF985" s="31"/>
      <c r="AG985" s="31"/>
      <c r="AH985" s="32"/>
      <c r="AI985" s="33"/>
      <c r="AJ985" s="34"/>
      <c r="AK985" s="31"/>
      <c r="AL985" s="31"/>
      <c r="AM985" s="31"/>
    </row>
    <row r="986" customFormat="false" ht="14.25" hidden="false" customHeight="true" outlineLevel="0" collapsed="false">
      <c r="A986" s="31"/>
      <c r="B986" s="189"/>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31"/>
      <c r="AD986" s="31"/>
      <c r="AE986" s="31"/>
      <c r="AF986" s="31"/>
      <c r="AG986" s="31"/>
      <c r="AH986" s="32"/>
      <c r="AI986" s="33"/>
      <c r="AJ986" s="34"/>
      <c r="AK986" s="31"/>
      <c r="AL986" s="31"/>
      <c r="AM986" s="31"/>
    </row>
    <row r="987" customFormat="false" ht="14.25" hidden="false" customHeight="true" outlineLevel="0" collapsed="false">
      <c r="A987" s="31"/>
      <c r="B987" s="189"/>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31"/>
      <c r="AD987" s="31"/>
      <c r="AE987" s="31"/>
      <c r="AF987" s="31"/>
      <c r="AG987" s="31"/>
      <c r="AH987" s="32"/>
      <c r="AI987" s="33"/>
      <c r="AJ987" s="34"/>
      <c r="AK987" s="31"/>
      <c r="AL987" s="31"/>
      <c r="AM987" s="31"/>
    </row>
    <row r="988" customFormat="false" ht="14.25" hidden="false" customHeight="true" outlineLevel="0" collapsed="false">
      <c r="A988" s="31"/>
      <c r="B988" s="189"/>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31"/>
      <c r="AD988" s="31"/>
      <c r="AE988" s="31"/>
      <c r="AF988" s="31"/>
      <c r="AG988" s="31"/>
      <c r="AH988" s="32"/>
      <c r="AI988" s="33"/>
      <c r="AJ988" s="34"/>
      <c r="AK988" s="31"/>
      <c r="AL988" s="31"/>
      <c r="AM988" s="31"/>
    </row>
    <row r="989" customFormat="false" ht="14.25" hidden="false" customHeight="true" outlineLevel="0" collapsed="false">
      <c r="A989" s="31"/>
      <c r="B989" s="189"/>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31"/>
      <c r="AD989" s="31"/>
      <c r="AE989" s="31"/>
      <c r="AF989" s="31"/>
      <c r="AG989" s="31"/>
      <c r="AH989" s="32"/>
      <c r="AI989" s="33"/>
      <c r="AJ989" s="34"/>
      <c r="AK989" s="31"/>
      <c r="AL989" s="31"/>
      <c r="AM989" s="31"/>
    </row>
    <row r="990" customFormat="false" ht="14.25" hidden="false" customHeight="true" outlineLevel="0" collapsed="false">
      <c r="A990" s="31"/>
      <c r="B990" s="189"/>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31"/>
      <c r="AD990" s="31"/>
      <c r="AE990" s="31"/>
      <c r="AF990" s="31"/>
      <c r="AG990" s="31"/>
      <c r="AH990" s="32"/>
      <c r="AI990" s="33"/>
      <c r="AJ990" s="34"/>
      <c r="AK990" s="31"/>
      <c r="AL990" s="31"/>
      <c r="AM990" s="31"/>
    </row>
    <row r="991" customFormat="false" ht="14.25" hidden="false" customHeight="true" outlineLevel="0" collapsed="false">
      <c r="A991" s="31"/>
      <c r="B991" s="189"/>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31"/>
      <c r="AD991" s="31"/>
      <c r="AE991" s="31"/>
      <c r="AF991" s="31"/>
      <c r="AG991" s="31"/>
      <c r="AH991" s="32"/>
      <c r="AI991" s="33"/>
      <c r="AJ991" s="34"/>
      <c r="AK991" s="31"/>
      <c r="AL991" s="31"/>
      <c r="AM991" s="31"/>
    </row>
    <row r="992" customFormat="false" ht="14.25" hidden="false" customHeight="true" outlineLevel="0" collapsed="false">
      <c r="A992" s="31"/>
      <c r="B992" s="189"/>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31"/>
      <c r="AD992" s="31"/>
      <c r="AE992" s="31"/>
      <c r="AF992" s="31"/>
      <c r="AG992" s="31"/>
      <c r="AH992" s="32"/>
      <c r="AI992" s="33"/>
      <c r="AJ992" s="34"/>
      <c r="AK992" s="31"/>
      <c r="AL992" s="31"/>
      <c r="AM992" s="31"/>
    </row>
    <row r="993" customFormat="false" ht="14.25" hidden="false" customHeight="true" outlineLevel="0" collapsed="false">
      <c r="A993" s="31"/>
      <c r="B993" s="189"/>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31"/>
      <c r="AD993" s="31"/>
      <c r="AE993" s="31"/>
      <c r="AF993" s="31"/>
      <c r="AG993" s="31"/>
      <c r="AH993" s="32"/>
      <c r="AI993" s="33"/>
      <c r="AJ993" s="34"/>
      <c r="AK993" s="31"/>
      <c r="AL993" s="31"/>
      <c r="AM993" s="31"/>
    </row>
    <row r="994" customFormat="false" ht="14.25" hidden="false" customHeight="true" outlineLevel="0" collapsed="false">
      <c r="A994" s="31"/>
      <c r="B994" s="189"/>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31"/>
      <c r="AD994" s="31"/>
      <c r="AE994" s="31"/>
      <c r="AF994" s="31"/>
      <c r="AG994" s="31"/>
      <c r="AH994" s="32"/>
      <c r="AI994" s="33"/>
      <c r="AJ994" s="34"/>
      <c r="AK994" s="31"/>
      <c r="AL994" s="31"/>
      <c r="AM994" s="31"/>
    </row>
    <row r="995" customFormat="false" ht="14.25" hidden="false" customHeight="true" outlineLevel="0" collapsed="false">
      <c r="A995" s="31"/>
      <c r="B995" s="189"/>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31"/>
      <c r="AD995" s="31"/>
      <c r="AE995" s="31"/>
      <c r="AF995" s="31"/>
      <c r="AG995" s="31"/>
      <c r="AH995" s="32"/>
      <c r="AI995" s="33"/>
      <c r="AJ995" s="34"/>
      <c r="AK995" s="31"/>
      <c r="AL995" s="31"/>
      <c r="AM995" s="31"/>
    </row>
    <row r="996" customFormat="false" ht="14.25" hidden="false" customHeight="true" outlineLevel="0" collapsed="false">
      <c r="A996" s="31"/>
      <c r="B996" s="189"/>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31"/>
      <c r="AD996" s="31"/>
      <c r="AE996" s="31"/>
      <c r="AF996" s="31"/>
      <c r="AG996" s="31"/>
      <c r="AH996" s="32"/>
      <c r="AI996" s="33"/>
      <c r="AJ996" s="34"/>
      <c r="AK996" s="31"/>
      <c r="AL996" s="31"/>
      <c r="AM996" s="31"/>
    </row>
    <row r="997" customFormat="false" ht="14.25" hidden="false" customHeight="true" outlineLevel="0" collapsed="false">
      <c r="A997" s="31"/>
      <c r="B997" s="189"/>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31"/>
      <c r="AD997" s="31"/>
      <c r="AE997" s="31"/>
      <c r="AF997" s="31"/>
      <c r="AG997" s="31"/>
      <c r="AH997" s="32"/>
      <c r="AI997" s="33"/>
      <c r="AJ997" s="34"/>
      <c r="AK997" s="31"/>
      <c r="AL997" s="31"/>
      <c r="AM997" s="31"/>
    </row>
    <row r="998" customFormat="false" ht="14.25" hidden="false" customHeight="true" outlineLevel="0" collapsed="false">
      <c r="A998" s="31"/>
      <c r="B998" s="189"/>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31"/>
      <c r="AD998" s="31"/>
      <c r="AE998" s="31"/>
      <c r="AF998" s="31"/>
      <c r="AG998" s="31"/>
      <c r="AH998" s="32"/>
      <c r="AI998" s="33"/>
      <c r="AJ998" s="34"/>
      <c r="AK998" s="31"/>
      <c r="AL998" s="31"/>
      <c r="AM998" s="31"/>
    </row>
    <row r="999" customFormat="false" ht="14.25" hidden="false" customHeight="true" outlineLevel="0" collapsed="false">
      <c r="A999" s="31"/>
      <c r="B999" s="189"/>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31"/>
      <c r="AD999" s="31"/>
      <c r="AE999" s="31"/>
      <c r="AF999" s="31"/>
      <c r="AG999" s="31"/>
      <c r="AH999" s="32"/>
      <c r="AI999" s="33"/>
      <c r="AJ999" s="34"/>
      <c r="AK999" s="31"/>
      <c r="AL999" s="31"/>
      <c r="AM999" s="31"/>
    </row>
    <row r="1000" customFormat="false" ht="14.25" hidden="false" customHeight="true" outlineLevel="0" collapsed="false">
      <c r="A1000" s="31"/>
      <c r="B1000" s="189"/>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31"/>
      <c r="AD1000" s="31"/>
      <c r="AE1000" s="31"/>
      <c r="AF1000" s="31"/>
      <c r="AG1000" s="31"/>
      <c r="AH1000" s="32"/>
      <c r="AI1000" s="33"/>
      <c r="AJ1000" s="34"/>
      <c r="AK1000" s="31"/>
      <c r="AL1000" s="31"/>
      <c r="AM1000" s="31"/>
    </row>
    <row r="1001" customFormat="false" ht="14.25" hidden="false" customHeight="true" outlineLevel="0" collapsed="false">
      <c r="A1001" s="31"/>
      <c r="B1001" s="189"/>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31"/>
      <c r="AD1001" s="31"/>
      <c r="AE1001" s="31"/>
      <c r="AF1001" s="31"/>
      <c r="AG1001" s="31"/>
      <c r="AH1001" s="32"/>
      <c r="AI1001" s="33"/>
      <c r="AJ1001" s="34"/>
      <c r="AK1001" s="31"/>
      <c r="AL1001" s="31"/>
      <c r="AM1001" s="31"/>
    </row>
  </sheetData>
  <mergeCells count="275">
    <mergeCell ref="C4:E4"/>
    <mergeCell ref="F4:AB4"/>
    <mergeCell ref="C5:E5"/>
    <mergeCell ref="F5:AB5"/>
    <mergeCell ref="C6:E6"/>
    <mergeCell ref="F6:AB6"/>
    <mergeCell ref="C7:E7"/>
    <mergeCell ref="F7:L7"/>
    <mergeCell ref="M7:X7"/>
    <mergeCell ref="Y7:Z7"/>
    <mergeCell ref="AA7:AB7"/>
    <mergeCell ref="C8:E8"/>
    <mergeCell ref="F8:AB8"/>
    <mergeCell ref="B9:B11"/>
    <mergeCell ref="C9:E11"/>
    <mergeCell ref="G9:AB9"/>
    <mergeCell ref="G10:AB10"/>
    <mergeCell ref="G11:AB11"/>
    <mergeCell ref="C12:E12"/>
    <mergeCell ref="F12:H12"/>
    <mergeCell ref="J12:K12"/>
    <mergeCell ref="M12:AB12"/>
    <mergeCell ref="C13:E13"/>
    <mergeCell ref="F13:H13"/>
    <mergeCell ref="C14:E14"/>
    <mergeCell ref="F14:AB14"/>
    <mergeCell ref="C16:E23"/>
    <mergeCell ref="F16:G16"/>
    <mergeCell ref="H16:AA16"/>
    <mergeCell ref="F17:G17"/>
    <mergeCell ref="H17:AA17"/>
    <mergeCell ref="F18:G18"/>
    <mergeCell ref="H18:AA18"/>
    <mergeCell ref="F19:G19"/>
    <mergeCell ref="H19:AA19"/>
    <mergeCell ref="F20:G20"/>
    <mergeCell ref="H20:AA20"/>
    <mergeCell ref="F21:G21"/>
    <mergeCell ref="H21:AA21"/>
    <mergeCell ref="F22:G22"/>
    <mergeCell ref="H22:AA22"/>
    <mergeCell ref="F23:G23"/>
    <mergeCell ref="H23:AA23"/>
    <mergeCell ref="C25:AB25"/>
    <mergeCell ref="D27:E28"/>
    <mergeCell ref="F27:Q27"/>
    <mergeCell ref="R27:V28"/>
    <mergeCell ref="W27:Z28"/>
    <mergeCell ref="D29:E29"/>
    <mergeCell ref="R29:V29"/>
    <mergeCell ref="W29:Z29"/>
    <mergeCell ref="D30:E30"/>
    <mergeCell ref="R30:V30"/>
    <mergeCell ref="W30:Z30"/>
    <mergeCell ref="D31:E31"/>
    <mergeCell ref="R31:V31"/>
    <mergeCell ref="W31:Z31"/>
    <mergeCell ref="D32:E32"/>
    <mergeCell ref="R32:V32"/>
    <mergeCell ref="W32:Z32"/>
    <mergeCell ref="D33:E33"/>
    <mergeCell ref="R33:V33"/>
    <mergeCell ref="W33:Z33"/>
    <mergeCell ref="D34:E34"/>
    <mergeCell ref="R34:V34"/>
    <mergeCell ref="W34:Z34"/>
    <mergeCell ref="D35:E35"/>
    <mergeCell ref="R35:V35"/>
    <mergeCell ref="W35:Z35"/>
    <mergeCell ref="D36:E36"/>
    <mergeCell ref="R36:V36"/>
    <mergeCell ref="W36:Z36"/>
    <mergeCell ref="D37:E39"/>
    <mergeCell ref="R37:V37"/>
    <mergeCell ref="R38:V38"/>
    <mergeCell ref="R39:V39"/>
    <mergeCell ref="D41:Z41"/>
    <mergeCell ref="D42:Z42"/>
    <mergeCell ref="D43:Z43"/>
    <mergeCell ref="C45:AB45"/>
    <mergeCell ref="C46:H51"/>
    <mergeCell ref="J46:Z46"/>
    <mergeCell ref="J47:Z47"/>
    <mergeCell ref="J48:Z48"/>
    <mergeCell ref="I49:Z49"/>
    <mergeCell ref="I50:I51"/>
    <mergeCell ref="J50:Z51"/>
    <mergeCell ref="C53:AB53"/>
    <mergeCell ref="C54:AA54"/>
    <mergeCell ref="D56:J59"/>
    <mergeCell ref="K56:L59"/>
    <mergeCell ref="M56:W56"/>
    <mergeCell ref="X56:Z59"/>
    <mergeCell ref="M57:T57"/>
    <mergeCell ref="U57:W59"/>
    <mergeCell ref="M58:P58"/>
    <mergeCell ref="Q58:T58"/>
    <mergeCell ref="E60:J60"/>
    <mergeCell ref="K60:L60"/>
    <mergeCell ref="U60:W60"/>
    <mergeCell ref="X60:Z60"/>
    <mergeCell ref="E61:J61"/>
    <mergeCell ref="K61:L61"/>
    <mergeCell ref="U61:W61"/>
    <mergeCell ref="X61:Z61"/>
    <mergeCell ref="E62:J62"/>
    <mergeCell ref="K62:L62"/>
    <mergeCell ref="U62:W62"/>
    <mergeCell ref="X62:Z62"/>
    <mergeCell ref="E63:J63"/>
    <mergeCell ref="K63:L63"/>
    <mergeCell ref="U63:W63"/>
    <mergeCell ref="X63:Z63"/>
    <mergeCell ref="E64:J64"/>
    <mergeCell ref="K64:L64"/>
    <mergeCell ref="U64:W64"/>
    <mergeCell ref="X64:Z64"/>
    <mergeCell ref="E65:J65"/>
    <mergeCell ref="K65:L65"/>
    <mergeCell ref="U65:W65"/>
    <mergeCell ref="X65:Z65"/>
    <mergeCell ref="E66:J66"/>
    <mergeCell ref="K66:L66"/>
    <mergeCell ref="U66:W66"/>
    <mergeCell ref="X66:Z66"/>
    <mergeCell ref="E67:J67"/>
    <mergeCell ref="K67:L67"/>
    <mergeCell ref="U67:W67"/>
    <mergeCell ref="X67:Z67"/>
    <mergeCell ref="E68:J68"/>
    <mergeCell ref="K68:L68"/>
    <mergeCell ref="U68:W68"/>
    <mergeCell ref="X68:Z68"/>
    <mergeCell ref="E69:J69"/>
    <mergeCell ref="K69:L69"/>
    <mergeCell ref="U69:W69"/>
    <mergeCell ref="X69:Z69"/>
    <mergeCell ref="E70:J70"/>
    <mergeCell ref="E71:J71"/>
    <mergeCell ref="E72:J72"/>
    <mergeCell ref="E73:J73"/>
    <mergeCell ref="E74:J74"/>
    <mergeCell ref="E75:J75"/>
    <mergeCell ref="K75:L75"/>
    <mergeCell ref="U75:W75"/>
    <mergeCell ref="X75:Z75"/>
    <mergeCell ref="E76:J76"/>
    <mergeCell ref="K76:L76"/>
    <mergeCell ref="U76:W76"/>
    <mergeCell ref="X76:Z76"/>
    <mergeCell ref="E77:J77"/>
    <mergeCell ref="K77:L77"/>
    <mergeCell ref="U77:W77"/>
    <mergeCell ref="X77:Z77"/>
    <mergeCell ref="E78:J78"/>
    <mergeCell ref="K78:L78"/>
    <mergeCell ref="U78:W78"/>
    <mergeCell ref="X78:Z78"/>
    <mergeCell ref="E79:J79"/>
    <mergeCell ref="K79:L79"/>
    <mergeCell ref="U79:W79"/>
    <mergeCell ref="X79:Z79"/>
    <mergeCell ref="D80:W80"/>
    <mergeCell ref="X80:Z80"/>
    <mergeCell ref="D81:J82"/>
    <mergeCell ref="K81:L82"/>
    <mergeCell ref="M81:T81"/>
    <mergeCell ref="U81:W82"/>
    <mergeCell ref="M82:P82"/>
    <mergeCell ref="Q82:T82"/>
    <mergeCell ref="E83:J83"/>
    <mergeCell ref="K83:L83"/>
    <mergeCell ref="M83:P83"/>
    <mergeCell ref="Q83:T83"/>
    <mergeCell ref="U83:W83"/>
    <mergeCell ref="E84:J84"/>
    <mergeCell ref="K84:L84"/>
    <mergeCell ref="M84:P84"/>
    <mergeCell ref="Q84:T84"/>
    <mergeCell ref="U84:W84"/>
    <mergeCell ref="E85:J85"/>
    <mergeCell ref="K85:L85"/>
    <mergeCell ref="M85:P85"/>
    <mergeCell ref="Q85:T85"/>
    <mergeCell ref="U85:W85"/>
    <mergeCell ref="E86:J86"/>
    <mergeCell ref="K86:L86"/>
    <mergeCell ref="M86:P86"/>
    <mergeCell ref="Q86:T86"/>
    <mergeCell ref="U86:W86"/>
    <mergeCell ref="E87:J87"/>
    <mergeCell ref="K87:L87"/>
    <mergeCell ref="M87:P87"/>
    <mergeCell ref="Q87:T87"/>
    <mergeCell ref="U87:W87"/>
    <mergeCell ref="D88:W88"/>
    <mergeCell ref="X88:Z88"/>
    <mergeCell ref="D89:J90"/>
    <mergeCell ref="K89:L90"/>
    <mergeCell ref="M89:T89"/>
    <mergeCell ref="U89:W90"/>
    <mergeCell ref="M90:P90"/>
    <mergeCell ref="Q90:T90"/>
    <mergeCell ref="E91:J91"/>
    <mergeCell ref="K91:L91"/>
    <mergeCell ref="M91:P91"/>
    <mergeCell ref="Q91:T91"/>
    <mergeCell ref="U91:W91"/>
    <mergeCell ref="E92:J92"/>
    <mergeCell ref="K92:L92"/>
    <mergeCell ref="M92:P92"/>
    <mergeCell ref="Q92:T92"/>
    <mergeCell ref="U92:W92"/>
    <mergeCell ref="E93:J93"/>
    <mergeCell ref="K93:L93"/>
    <mergeCell ref="M93:P93"/>
    <mergeCell ref="Q93:T93"/>
    <mergeCell ref="U93:W93"/>
    <mergeCell ref="E94:J94"/>
    <mergeCell ref="K94:L94"/>
    <mergeCell ref="M94:P94"/>
    <mergeCell ref="Q94:T94"/>
    <mergeCell ref="U94:W94"/>
    <mergeCell ref="E95:J95"/>
    <mergeCell ref="K95:L95"/>
    <mergeCell ref="M95:P95"/>
    <mergeCell ref="Q95:T95"/>
    <mergeCell ref="U95:W95"/>
    <mergeCell ref="D96:W96"/>
    <mergeCell ref="X96:Z96"/>
    <mergeCell ref="D98:W98"/>
    <mergeCell ref="X98:Z98"/>
    <mergeCell ref="D99:W99"/>
    <mergeCell ref="X99:Z99"/>
    <mergeCell ref="D100:D101"/>
    <mergeCell ref="E100:W101"/>
    <mergeCell ref="X100:Z101"/>
    <mergeCell ref="E102:W102"/>
    <mergeCell ref="X102:Z102"/>
    <mergeCell ref="E103:W103"/>
    <mergeCell ref="X103:Z103"/>
    <mergeCell ref="E104:W104"/>
    <mergeCell ref="X104:Z104"/>
    <mergeCell ref="E105:W105"/>
    <mergeCell ref="X105:Z105"/>
    <mergeCell ref="D107:W107"/>
    <mergeCell ref="X107:Z107"/>
    <mergeCell ref="D109:Z109"/>
    <mergeCell ref="D110:Z110"/>
    <mergeCell ref="D111:W111"/>
    <mergeCell ref="B112:B113"/>
    <mergeCell ref="C112:J113"/>
    <mergeCell ref="K112:AB113"/>
    <mergeCell ref="B114:B115"/>
    <mergeCell ref="C114:J115"/>
    <mergeCell ref="K114:AB115"/>
    <mergeCell ref="B116:B117"/>
    <mergeCell ref="C116:J117"/>
    <mergeCell ref="K116:S117"/>
    <mergeCell ref="T116:W117"/>
    <mergeCell ref="X116:AB117"/>
    <mergeCell ref="B118:B119"/>
    <mergeCell ref="C118:J119"/>
    <mergeCell ref="K118:Q119"/>
    <mergeCell ref="R118:W119"/>
    <mergeCell ref="X118:Z119"/>
    <mergeCell ref="AA118:AB119"/>
    <mergeCell ref="B120:B121"/>
    <mergeCell ref="C120:J121"/>
    <mergeCell ref="K120:N121"/>
    <mergeCell ref="O120:T121"/>
    <mergeCell ref="U120:W121"/>
    <mergeCell ref="X120:AB121"/>
    <mergeCell ref="B124:J125"/>
    <mergeCell ref="B126:J126"/>
  </mergeCells>
  <dataValidations count="12">
    <dataValidation allowBlank="true" errorStyle="stop" operator="between" showDropDown="false" showErrorMessage="true" showInputMessage="false" sqref="X107" type="list">
      <formula1>"√"</formula1>
      <formula2>0</formula2>
    </dataValidation>
    <dataValidation allowBlank="true" errorStyle="stop" operator="between" showDropDown="false" showErrorMessage="true" showInputMessage="false" sqref="AA118" type="list">
      <formula1>$AG$144:$AG$145</formula1>
      <formula2>0</formula2>
    </dataValidation>
    <dataValidation allowBlank="true" errorStyle="stop" operator="between" showDropDown="false" showErrorMessage="true" showInputMessage="false" sqref="X116" type="list">
      <formula1>$AG120:AG123</formula1>
      <formula2>0</formula2>
    </dataValidation>
    <dataValidation allowBlank="true" errorStyle="stop" operator="between" showDropDown="false" showErrorMessage="true" showInputMessage="false" sqref="F29:Q36" type="list">
      <formula1>$AI$3</formula1>
      <formula2>0</formula2>
    </dataValidation>
    <dataValidation allowBlank="true" errorStyle="stop" operator="between" showDropDown="false" showErrorMessage="true" showInputMessage="false" sqref="I12" type="list">
      <formula1>$AI$11:$AI$18</formula1>
      <formula2>0</formula2>
    </dataValidation>
    <dataValidation allowBlank="true" errorStyle="stop" operator="between" showDropDown="false" showErrorMessage="true" showInputMessage="false" sqref="J46:J48" type="list">
      <formula1>$AI$36:$AI$45</formula1>
      <formula2>0</formula2>
    </dataValidation>
    <dataValidation allowBlank="true" errorStyle="stop" operator="between" showDropDown="false" showErrorMessage="true" showInputMessage="false" sqref="F37:Q39" type="list">
      <formula1>$AI$46:$AI$57</formula1>
      <formula2>0</formula2>
    </dataValidation>
    <dataValidation allowBlank="true" errorStyle="stop" operator="between" showDropDown="false" showErrorMessage="true" showInputMessage="false" sqref="K116" type="list">
      <formula1>AG112:AG117</formula1>
      <formula2>0</formula2>
    </dataValidation>
    <dataValidation allowBlank="true" errorStyle="stop" operator="between" showDropDown="false" showErrorMessage="true" showInputMessage="false" sqref="L12" type="list">
      <formula1>$AI$11:$AI$13</formula1>
      <formula2>0</formula2>
    </dataValidation>
    <dataValidation allowBlank="true" errorStyle="stop" operator="between" showDropDown="false" showErrorMessage="true" showInputMessage="false" sqref="K118 R118" type="list">
      <formula1>$AG$126:$AG$142</formula1>
      <formula2>0</formula2>
    </dataValidation>
    <dataValidation allowBlank="true" errorStyle="stop" operator="between" showDropDown="false" showErrorMessage="true" showInputMessage="false" sqref="F7:L7" type="list">
      <formula1>$AI$19:$AI$23</formula1>
      <formula2>0</formula2>
    </dataValidation>
    <dataValidation allowBlank="true" errorStyle="stop" operator="between" showDropDown="false" showErrorMessage="true" showInputMessage="true" sqref="AA7:AB7" type="list">
      <formula1>"C1,C2,C3,C4,C5,C6"</formula1>
      <formula2>0</formula2>
    </dataValidation>
  </dataValidations>
  <printOptions headings="false" gridLines="false" gridLinesSet="true" horizontalCentered="false" verticalCentered="false"/>
  <pageMargins left="0.479861111111111" right="0.236111111111111" top="0.747916666666667" bottom="0.74791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2" manualBreakCount="2">
    <brk id="52" man="true" max="16383" min="0"/>
    <brk id="88" man="true" max="16383" min="0"/>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3.67"/>
    <col collapsed="false" customWidth="true" hidden="false" outlineLevel="0" max="2" min="2" style="0" width="20.88"/>
    <col collapsed="false" customWidth="true" hidden="false" outlineLevel="0" max="3" min="3" style="0" width="22.44"/>
    <col collapsed="false" customWidth="true" hidden="false" outlineLevel="0" max="4" min="4" style="0" width="38.67"/>
    <col collapsed="false" customWidth="true" hidden="false" outlineLevel="0" max="5" min="5" style="0" width="9.11"/>
    <col collapsed="false" customWidth="true" hidden="false" outlineLevel="0" max="6" min="6" style="0" width="54.33"/>
    <col collapsed="false" customWidth="true" hidden="false" outlineLevel="0" max="7" min="7" style="0" width="52.33"/>
    <col collapsed="false" customWidth="true" hidden="false" outlineLevel="0" max="12" min="8" style="0" width="8.67"/>
    <col collapsed="false" customWidth="true" hidden="false" outlineLevel="0" max="13" min="13" style="0" width="13.34"/>
    <col collapsed="false" customWidth="true" hidden="false" outlineLevel="0" max="14" min="14" style="0" width="19.67"/>
    <col collapsed="false" customWidth="true" hidden="false" outlineLevel="0" max="15" min="15" style="0" width="8.67"/>
    <col collapsed="false" customWidth="true" hidden="false" outlineLevel="0" max="16" min="16" style="0" width="16.11"/>
    <col collapsed="false" customWidth="true" hidden="false" outlineLevel="0" max="26" min="17" style="0" width="8.67"/>
  </cols>
  <sheetData>
    <row r="1" customFormat="false" ht="21" hidden="false" customHeight="true" outlineLevel="0" collapsed="false">
      <c r="A1" s="197"/>
      <c r="B1" s="198"/>
      <c r="C1" s="198"/>
      <c r="D1" s="199"/>
      <c r="E1" s="199"/>
      <c r="F1" s="200"/>
      <c r="G1" s="201"/>
      <c r="H1" s="201"/>
      <c r="I1" s="201"/>
      <c r="J1" s="201"/>
      <c r="K1" s="201"/>
      <c r="L1" s="201"/>
      <c r="M1" s="202"/>
      <c r="N1" s="201"/>
      <c r="O1" s="201"/>
      <c r="P1" s="201"/>
      <c r="Q1" s="201"/>
      <c r="R1" s="201"/>
      <c r="S1" s="201"/>
      <c r="T1" s="201"/>
      <c r="U1" s="201"/>
      <c r="V1" s="201"/>
      <c r="W1" s="201"/>
      <c r="X1" s="201"/>
      <c r="Y1" s="201"/>
      <c r="Z1" s="201"/>
    </row>
    <row r="2" customFormat="false" ht="13.5" hidden="false" customHeight="true" outlineLevel="0" collapsed="false">
      <c r="A2" s="197"/>
      <c r="B2" s="203" t="s">
        <v>200</v>
      </c>
      <c r="C2" s="203"/>
      <c r="D2" s="204"/>
      <c r="E2" s="205"/>
      <c r="F2" s="204"/>
      <c r="G2" s="206"/>
      <c r="H2" s="207"/>
      <c r="I2" s="207"/>
      <c r="J2" s="207"/>
      <c r="K2" s="207"/>
      <c r="L2" s="207"/>
      <c r="M2" s="202"/>
      <c r="N2" s="201"/>
      <c r="O2" s="201"/>
      <c r="P2" s="201"/>
      <c r="Q2" s="208" t="s">
        <v>4</v>
      </c>
      <c r="R2" s="201"/>
      <c r="S2" s="201"/>
      <c r="T2" s="201"/>
      <c r="U2" s="201"/>
      <c r="V2" s="201"/>
      <c r="W2" s="201"/>
      <c r="X2" s="201"/>
      <c r="Y2" s="201"/>
      <c r="Z2" s="201"/>
    </row>
    <row r="3" customFormat="false" ht="21" hidden="false" customHeight="true" outlineLevel="0" collapsed="false">
      <c r="A3" s="1"/>
      <c r="B3" s="209" t="s">
        <v>201</v>
      </c>
      <c r="C3" s="210"/>
      <c r="D3" s="211"/>
      <c r="E3" s="212"/>
      <c r="F3" s="213"/>
      <c r="G3" s="213"/>
      <c r="H3" s="1"/>
      <c r="I3" s="1"/>
      <c r="J3" s="1"/>
      <c r="K3" s="1"/>
      <c r="L3" s="1"/>
      <c r="M3" s="214"/>
      <c r="N3" s="1"/>
      <c r="O3" s="1"/>
      <c r="P3" s="1"/>
      <c r="Q3" s="215" t="s">
        <v>202</v>
      </c>
    </row>
    <row r="4" customFormat="false" ht="63" hidden="false" customHeight="true" outlineLevel="0" collapsed="false">
      <c r="B4" s="216" t="s">
        <v>203</v>
      </c>
      <c r="C4" s="217" t="s">
        <v>204</v>
      </c>
      <c r="D4" s="218" t="s">
        <v>205</v>
      </c>
      <c r="E4" s="218"/>
      <c r="F4" s="218" t="s">
        <v>206</v>
      </c>
      <c r="G4" s="219" t="s">
        <v>207</v>
      </c>
      <c r="H4" s="220"/>
      <c r="I4" s="220"/>
      <c r="J4" s="220"/>
      <c r="K4" s="220"/>
      <c r="L4" s="220"/>
      <c r="M4" s="221"/>
      <c r="N4" s="220"/>
      <c r="O4" s="220"/>
      <c r="P4" s="220"/>
    </row>
    <row r="5" customFormat="false" ht="18" hidden="false" customHeight="true" outlineLevel="0" collapsed="false">
      <c r="A5" s="203"/>
      <c r="B5" s="222"/>
      <c r="C5" s="223"/>
      <c r="D5" s="224"/>
      <c r="E5" s="224" t="str">
        <f aca="false">IF(D5="","",IF(D5&gt;=80,"√","x"))</f>
        <v/>
      </c>
      <c r="F5" s="225"/>
      <c r="G5" s="226"/>
      <c r="H5" s="220"/>
      <c r="I5" s="220"/>
      <c r="J5" s="220"/>
      <c r="K5" s="220"/>
      <c r="L5" s="220"/>
      <c r="M5" s="221"/>
      <c r="N5" s="220"/>
      <c r="O5" s="220"/>
      <c r="P5" s="220"/>
    </row>
    <row r="6" customFormat="false" ht="18" hidden="false" customHeight="true" outlineLevel="0" collapsed="false">
      <c r="A6" s="203"/>
      <c r="B6" s="222"/>
      <c r="C6" s="223"/>
      <c r="D6" s="224"/>
      <c r="E6" s="224" t="str">
        <f aca="false">IF(D6="","",IF(D6&gt;=80,"√","x"))</f>
        <v/>
      </c>
      <c r="F6" s="225"/>
      <c r="G6" s="226"/>
      <c r="H6" s="220"/>
      <c r="I6" s="220"/>
      <c r="J6" s="220"/>
      <c r="K6" s="220"/>
      <c r="L6" s="220"/>
      <c r="M6" s="221"/>
      <c r="N6" s="220"/>
      <c r="O6" s="220"/>
      <c r="P6" s="220"/>
    </row>
    <row r="7" customFormat="false" ht="18" hidden="false" customHeight="true" outlineLevel="0" collapsed="false">
      <c r="A7" s="203"/>
      <c r="B7" s="222"/>
      <c r="C7" s="223"/>
      <c r="D7" s="224"/>
      <c r="E7" s="224" t="str">
        <f aca="false">IF(D7="","",IF(D7&gt;=80,"√","x"))</f>
        <v/>
      </c>
      <c r="F7" s="225"/>
      <c r="G7" s="226"/>
      <c r="H7" s="220"/>
      <c r="I7" s="220"/>
      <c r="J7" s="220"/>
      <c r="K7" s="220"/>
      <c r="L7" s="220"/>
      <c r="M7" s="221"/>
      <c r="N7" s="220"/>
      <c r="O7" s="220"/>
      <c r="P7" s="220"/>
    </row>
    <row r="8" customFormat="false" ht="18" hidden="false" customHeight="true" outlineLevel="0" collapsed="false">
      <c r="A8" s="203"/>
      <c r="B8" s="222"/>
      <c r="C8" s="223"/>
      <c r="D8" s="224"/>
      <c r="E8" s="224" t="str">
        <f aca="false">IF(D8="","",IF(D8&gt;=80,"√","x"))</f>
        <v/>
      </c>
      <c r="F8" s="225"/>
      <c r="G8" s="226"/>
      <c r="H8" s="220"/>
      <c r="I8" s="220"/>
      <c r="J8" s="220"/>
      <c r="K8" s="220"/>
      <c r="L8" s="220"/>
      <c r="M8" s="221"/>
      <c r="N8" s="220"/>
      <c r="O8" s="220"/>
      <c r="P8" s="220"/>
    </row>
    <row r="9" customFormat="false" ht="18" hidden="false" customHeight="true" outlineLevel="0" collapsed="false">
      <c r="A9" s="203"/>
      <c r="B9" s="222"/>
      <c r="C9" s="223"/>
      <c r="D9" s="224"/>
      <c r="E9" s="224" t="str">
        <f aca="false">IF(D9="","",IF(D9&gt;=80,"√","x"))</f>
        <v/>
      </c>
      <c r="F9" s="225"/>
      <c r="G9" s="226"/>
      <c r="H9" s="220"/>
      <c r="I9" s="220"/>
      <c r="J9" s="220"/>
      <c r="K9" s="220"/>
      <c r="L9" s="220"/>
      <c r="M9" s="221"/>
      <c r="N9" s="220"/>
      <c r="O9" s="220"/>
      <c r="P9" s="220"/>
    </row>
    <row r="10" customFormat="false" ht="18" hidden="false" customHeight="true" outlineLevel="0" collapsed="false">
      <c r="A10" s="203"/>
      <c r="B10" s="222"/>
      <c r="C10" s="223"/>
      <c r="D10" s="224"/>
      <c r="E10" s="224" t="str">
        <f aca="false">IF(D10="","",IF(D10&gt;=80,"√","x"))</f>
        <v/>
      </c>
      <c r="F10" s="225"/>
      <c r="G10" s="226"/>
      <c r="H10" s="220"/>
      <c r="I10" s="220"/>
      <c r="J10" s="220"/>
      <c r="K10" s="220"/>
      <c r="L10" s="220"/>
      <c r="M10" s="221"/>
      <c r="N10" s="220"/>
      <c r="O10" s="220"/>
      <c r="P10" s="220"/>
    </row>
    <row r="11" customFormat="false" ht="18" hidden="false" customHeight="true" outlineLevel="0" collapsed="false">
      <c r="A11" s="203"/>
      <c r="B11" s="222"/>
      <c r="C11" s="223"/>
      <c r="D11" s="224"/>
      <c r="E11" s="224" t="str">
        <f aca="false">IF(D11="","",IF(D11&gt;=80,"√","x"))</f>
        <v/>
      </c>
      <c r="F11" s="225"/>
      <c r="G11" s="226"/>
      <c r="H11" s="220"/>
      <c r="I11" s="220"/>
      <c r="J11" s="220"/>
      <c r="K11" s="220"/>
      <c r="L11" s="220"/>
      <c r="M11" s="221"/>
      <c r="N11" s="220"/>
      <c r="O11" s="220"/>
      <c r="P11" s="220"/>
    </row>
    <row r="12" customFormat="false" ht="18" hidden="false" customHeight="true" outlineLevel="0" collapsed="false">
      <c r="A12" s="203"/>
      <c r="B12" s="222"/>
      <c r="C12" s="223"/>
      <c r="D12" s="224"/>
      <c r="E12" s="224" t="str">
        <f aca="false">IF(D12="","",IF(D12&gt;=80,"√","x"))</f>
        <v/>
      </c>
      <c r="F12" s="225"/>
      <c r="G12" s="226"/>
      <c r="H12" s="220"/>
      <c r="I12" s="220"/>
      <c r="J12" s="220"/>
      <c r="K12" s="220"/>
      <c r="L12" s="220"/>
      <c r="M12" s="221"/>
      <c r="N12" s="220"/>
      <c r="O12" s="220"/>
      <c r="P12" s="220"/>
    </row>
    <row r="13" customFormat="false" ht="18" hidden="false" customHeight="true" outlineLevel="0" collapsed="false">
      <c r="A13" s="203"/>
      <c r="B13" s="222"/>
      <c r="C13" s="223"/>
      <c r="D13" s="224"/>
      <c r="E13" s="224" t="str">
        <f aca="false">IF(D13="","",IF(D13&gt;=80,"√","x"))</f>
        <v/>
      </c>
      <c r="F13" s="225"/>
      <c r="G13" s="226"/>
      <c r="H13" s="220"/>
      <c r="I13" s="220"/>
      <c r="J13" s="220"/>
      <c r="K13" s="220"/>
      <c r="L13" s="220"/>
      <c r="M13" s="221"/>
      <c r="N13" s="220"/>
      <c r="O13" s="220"/>
      <c r="P13" s="220"/>
    </row>
    <row r="14" customFormat="false" ht="18" hidden="false" customHeight="true" outlineLevel="0" collapsed="false">
      <c r="A14" s="203"/>
      <c r="B14" s="222"/>
      <c r="C14" s="223"/>
      <c r="D14" s="224"/>
      <c r="E14" s="224" t="str">
        <f aca="false">IF(D14="","",IF(D14&gt;=80,"√","x"))</f>
        <v/>
      </c>
      <c r="F14" s="225"/>
      <c r="G14" s="226"/>
      <c r="H14" s="220"/>
      <c r="I14" s="220"/>
      <c r="J14" s="220"/>
      <c r="K14" s="220"/>
      <c r="L14" s="220"/>
      <c r="M14" s="221"/>
      <c r="N14" s="220"/>
      <c r="O14" s="220"/>
      <c r="P14" s="220"/>
    </row>
    <row r="15" customFormat="false" ht="18" hidden="false" customHeight="true" outlineLevel="0" collapsed="false">
      <c r="A15" s="203"/>
      <c r="B15" s="222"/>
      <c r="C15" s="223"/>
      <c r="D15" s="224"/>
      <c r="E15" s="224" t="str">
        <f aca="false">IF(D15="","",IF(D15&gt;=80,"√","x"))</f>
        <v/>
      </c>
      <c r="F15" s="225"/>
      <c r="G15" s="226"/>
      <c r="H15" s="220"/>
      <c r="I15" s="220"/>
      <c r="J15" s="220"/>
      <c r="K15" s="220"/>
      <c r="L15" s="220"/>
      <c r="M15" s="221"/>
      <c r="N15" s="220"/>
      <c r="O15" s="220"/>
      <c r="P15" s="220"/>
    </row>
    <row r="16" customFormat="false" ht="18" hidden="false" customHeight="true" outlineLevel="0" collapsed="false">
      <c r="A16" s="203"/>
      <c r="B16" s="222"/>
      <c r="C16" s="223"/>
      <c r="D16" s="224"/>
      <c r="E16" s="224" t="str">
        <f aca="false">IF(D16="","",IF(D16&gt;=80,"√","x"))</f>
        <v/>
      </c>
      <c r="F16" s="225"/>
      <c r="G16" s="226"/>
      <c r="H16" s="220"/>
      <c r="I16" s="220"/>
      <c r="J16" s="220"/>
      <c r="K16" s="220"/>
      <c r="L16" s="220"/>
      <c r="M16" s="221"/>
      <c r="N16" s="220"/>
      <c r="O16" s="220"/>
      <c r="P16" s="220"/>
    </row>
    <row r="17" customFormat="false" ht="18" hidden="false" customHeight="true" outlineLevel="0" collapsed="false">
      <c r="A17" s="203"/>
      <c r="B17" s="222"/>
      <c r="C17" s="223"/>
      <c r="D17" s="224"/>
      <c r="E17" s="224" t="str">
        <f aca="false">IF(D17="","",IF(D17&gt;=80,"√","x"))</f>
        <v/>
      </c>
      <c r="F17" s="225"/>
      <c r="G17" s="226"/>
      <c r="H17" s="220"/>
      <c r="I17" s="220"/>
      <c r="J17" s="220"/>
      <c r="K17" s="220"/>
      <c r="L17" s="220"/>
      <c r="M17" s="221"/>
      <c r="N17" s="220"/>
      <c r="O17" s="220"/>
      <c r="P17" s="220"/>
    </row>
    <row r="18" customFormat="false" ht="18" hidden="false" customHeight="true" outlineLevel="0" collapsed="false">
      <c r="A18" s="203"/>
      <c r="B18" s="222"/>
      <c r="C18" s="223"/>
      <c r="D18" s="224"/>
      <c r="E18" s="224" t="str">
        <f aca="false">IF(D18="","",IF(D18&gt;=80,"√","x"))</f>
        <v/>
      </c>
      <c r="F18" s="225"/>
      <c r="G18" s="226"/>
      <c r="H18" s="220"/>
      <c r="I18" s="220"/>
      <c r="J18" s="220"/>
      <c r="K18" s="220"/>
      <c r="L18" s="220"/>
      <c r="M18" s="221"/>
      <c r="N18" s="220"/>
      <c r="O18" s="220"/>
      <c r="P18" s="220"/>
    </row>
    <row r="19" customFormat="false" ht="18" hidden="false" customHeight="true" outlineLevel="0" collapsed="false">
      <c r="A19" s="203"/>
      <c r="B19" s="222"/>
      <c r="C19" s="223"/>
      <c r="D19" s="224"/>
      <c r="E19" s="224" t="str">
        <f aca="false">IF(D19="","",IF(D19&gt;=80,"√","x"))</f>
        <v/>
      </c>
      <c r="F19" s="225"/>
      <c r="G19" s="226"/>
      <c r="H19" s="220"/>
      <c r="I19" s="220"/>
      <c r="J19" s="220"/>
      <c r="K19" s="220"/>
      <c r="L19" s="220"/>
      <c r="M19" s="221"/>
      <c r="N19" s="220"/>
      <c r="O19" s="220"/>
      <c r="P19" s="220"/>
    </row>
    <row r="20" customFormat="false" ht="18" hidden="false" customHeight="true" outlineLevel="0" collapsed="false">
      <c r="A20" s="203"/>
      <c r="B20" s="222"/>
      <c r="C20" s="223"/>
      <c r="D20" s="224"/>
      <c r="E20" s="224" t="str">
        <f aca="false">IF(D20="","",IF(D20&gt;=80,"√","x"))</f>
        <v/>
      </c>
      <c r="F20" s="225"/>
      <c r="G20" s="226"/>
      <c r="H20" s="220"/>
      <c r="I20" s="220"/>
      <c r="J20" s="220"/>
      <c r="K20" s="220"/>
      <c r="L20" s="220"/>
      <c r="M20" s="221"/>
      <c r="N20" s="220"/>
      <c r="O20" s="220"/>
      <c r="P20" s="220"/>
    </row>
    <row r="21" customFormat="false" ht="18" hidden="false" customHeight="true" outlineLevel="0" collapsed="false">
      <c r="A21" s="203"/>
      <c r="B21" s="222"/>
      <c r="C21" s="223"/>
      <c r="D21" s="224"/>
      <c r="E21" s="224" t="str">
        <f aca="false">IF(D21="","",IF(D21&gt;=80,"√","x"))</f>
        <v/>
      </c>
      <c r="F21" s="225"/>
      <c r="G21" s="226"/>
      <c r="H21" s="220"/>
      <c r="I21" s="220"/>
      <c r="J21" s="220"/>
      <c r="K21" s="220"/>
      <c r="L21" s="220"/>
      <c r="M21" s="221"/>
      <c r="N21" s="220"/>
      <c r="O21" s="220"/>
      <c r="P21" s="220"/>
    </row>
    <row r="22" customFormat="false" ht="18" hidden="false" customHeight="true" outlineLevel="0" collapsed="false">
      <c r="A22" s="203"/>
      <c r="B22" s="222"/>
      <c r="C22" s="223"/>
      <c r="D22" s="224"/>
      <c r="E22" s="224" t="str">
        <f aca="false">IF(D22="","",IF(D22&gt;=80,"√","x"))</f>
        <v/>
      </c>
      <c r="F22" s="225"/>
      <c r="G22" s="226"/>
      <c r="H22" s="220"/>
      <c r="I22" s="220"/>
      <c r="J22" s="220"/>
      <c r="K22" s="220"/>
      <c r="L22" s="220"/>
      <c r="M22" s="221"/>
      <c r="N22" s="220"/>
      <c r="O22" s="220"/>
      <c r="P22" s="220"/>
    </row>
    <row r="23" customFormat="false" ht="18" hidden="false" customHeight="true" outlineLevel="0" collapsed="false">
      <c r="A23" s="203"/>
      <c r="B23" s="222"/>
      <c r="C23" s="223"/>
      <c r="D23" s="224"/>
      <c r="E23" s="224" t="str">
        <f aca="false">IF(D23="","",IF(D23&gt;=80,"√","x"))</f>
        <v/>
      </c>
      <c r="F23" s="225"/>
      <c r="G23" s="226"/>
      <c r="H23" s="220"/>
      <c r="I23" s="220"/>
      <c r="J23" s="220"/>
      <c r="K23" s="220"/>
      <c r="L23" s="220"/>
      <c r="M23" s="221"/>
      <c r="N23" s="220"/>
      <c r="O23" s="220"/>
      <c r="P23" s="220"/>
    </row>
    <row r="24" customFormat="false" ht="18" hidden="false" customHeight="true" outlineLevel="0" collapsed="false">
      <c r="A24" s="203"/>
      <c r="B24" s="222"/>
      <c r="C24" s="223"/>
      <c r="D24" s="224"/>
      <c r="E24" s="224" t="str">
        <f aca="false">IF(D24="","",IF(D24&gt;=80,"√","x"))</f>
        <v/>
      </c>
      <c r="F24" s="225"/>
      <c r="G24" s="226"/>
      <c r="H24" s="220"/>
      <c r="I24" s="220"/>
      <c r="J24" s="220"/>
      <c r="K24" s="220"/>
      <c r="L24" s="220"/>
      <c r="M24" s="221"/>
      <c r="N24" s="220"/>
      <c r="O24" s="220"/>
      <c r="P24" s="220"/>
    </row>
    <row r="25" customFormat="false" ht="18" hidden="false" customHeight="true" outlineLevel="0" collapsed="false">
      <c r="A25" s="203"/>
      <c r="B25" s="222"/>
      <c r="C25" s="223"/>
      <c r="D25" s="224"/>
      <c r="E25" s="224" t="str">
        <f aca="false">IF(D25="","",IF(D25&gt;=80,"√","x"))</f>
        <v/>
      </c>
      <c r="F25" s="225"/>
      <c r="G25" s="226"/>
      <c r="H25" s="220"/>
      <c r="I25" s="220"/>
      <c r="J25" s="220"/>
      <c r="K25" s="220"/>
      <c r="L25" s="220"/>
      <c r="M25" s="221"/>
      <c r="N25" s="220"/>
      <c r="O25" s="220"/>
      <c r="P25" s="220"/>
    </row>
    <row r="26" customFormat="false" ht="18" hidden="false" customHeight="true" outlineLevel="0" collapsed="false">
      <c r="A26" s="203"/>
      <c r="B26" s="222"/>
      <c r="C26" s="223"/>
      <c r="D26" s="224"/>
      <c r="E26" s="224" t="str">
        <f aca="false">IF(D26="","",IF(D26&gt;=80,"√","x"))</f>
        <v/>
      </c>
      <c r="F26" s="225"/>
      <c r="G26" s="226"/>
      <c r="H26" s="220"/>
      <c r="I26" s="220"/>
      <c r="J26" s="220"/>
      <c r="K26" s="220"/>
      <c r="L26" s="220"/>
      <c r="M26" s="221"/>
      <c r="N26" s="220"/>
      <c r="O26" s="220"/>
      <c r="P26" s="220"/>
    </row>
    <row r="27" customFormat="false" ht="18" hidden="false" customHeight="true" outlineLevel="0" collapsed="false">
      <c r="A27" s="203"/>
      <c r="B27" s="222"/>
      <c r="C27" s="223"/>
      <c r="D27" s="224"/>
      <c r="E27" s="224" t="str">
        <f aca="false">IF(D27="","",IF(D27&gt;=80,"√","x"))</f>
        <v/>
      </c>
      <c r="F27" s="225"/>
      <c r="G27" s="226"/>
      <c r="H27" s="220"/>
      <c r="I27" s="220"/>
      <c r="J27" s="220"/>
      <c r="K27" s="220"/>
      <c r="L27" s="220"/>
      <c r="M27" s="221"/>
      <c r="N27" s="220"/>
      <c r="O27" s="220"/>
      <c r="P27" s="220"/>
    </row>
    <row r="28" customFormat="false" ht="18" hidden="false" customHeight="true" outlineLevel="0" collapsed="false">
      <c r="A28" s="203"/>
      <c r="B28" s="222"/>
      <c r="C28" s="223"/>
      <c r="D28" s="224"/>
      <c r="E28" s="224" t="str">
        <f aca="false">IF(D28="","",IF(D28&gt;=80,"√","x"))</f>
        <v/>
      </c>
      <c r="F28" s="225"/>
      <c r="G28" s="226"/>
      <c r="H28" s="220"/>
      <c r="I28" s="220"/>
      <c r="J28" s="220"/>
      <c r="K28" s="220"/>
      <c r="L28" s="220"/>
      <c r="M28" s="221"/>
      <c r="N28" s="220"/>
      <c r="O28" s="220"/>
      <c r="P28" s="220"/>
    </row>
    <row r="29" customFormat="false" ht="18" hidden="false" customHeight="true" outlineLevel="0" collapsed="false">
      <c r="A29" s="203"/>
      <c r="B29" s="222"/>
      <c r="C29" s="223"/>
      <c r="D29" s="224"/>
      <c r="E29" s="224" t="str">
        <f aca="false">IF(D29="","",IF(D29&gt;=80,"√","x"))</f>
        <v/>
      </c>
      <c r="F29" s="225"/>
      <c r="G29" s="226"/>
      <c r="H29" s="220"/>
      <c r="I29" s="220"/>
      <c r="J29" s="220"/>
      <c r="K29" s="220"/>
      <c r="L29" s="220"/>
      <c r="M29" s="221"/>
      <c r="N29" s="220"/>
      <c r="O29" s="220"/>
      <c r="P29" s="220"/>
    </row>
    <row r="30" customFormat="false" ht="18" hidden="false" customHeight="true" outlineLevel="0" collapsed="false">
      <c r="A30" s="203"/>
      <c r="B30" s="222"/>
      <c r="C30" s="223"/>
      <c r="D30" s="224"/>
      <c r="E30" s="224" t="str">
        <f aca="false">IF(D30="","",IF(D30&gt;=80,"√","x"))</f>
        <v/>
      </c>
      <c r="F30" s="225"/>
      <c r="G30" s="226"/>
      <c r="H30" s="220"/>
      <c r="I30" s="220"/>
      <c r="J30" s="220"/>
      <c r="K30" s="220"/>
      <c r="L30" s="220"/>
      <c r="M30" s="221"/>
      <c r="N30" s="220"/>
      <c r="O30" s="220"/>
      <c r="P30" s="220"/>
    </row>
    <row r="31" customFormat="false" ht="18" hidden="false" customHeight="true" outlineLevel="0" collapsed="false">
      <c r="A31" s="203"/>
      <c r="B31" s="222"/>
      <c r="C31" s="223"/>
      <c r="D31" s="224"/>
      <c r="E31" s="224" t="str">
        <f aca="false">IF(D31="","",IF(D31&gt;=80,"√","x"))</f>
        <v/>
      </c>
      <c r="F31" s="225"/>
      <c r="G31" s="226"/>
      <c r="H31" s="220"/>
      <c r="I31" s="220"/>
      <c r="J31" s="220"/>
      <c r="K31" s="220"/>
      <c r="L31" s="220"/>
      <c r="M31" s="221"/>
      <c r="N31" s="220"/>
      <c r="O31" s="220"/>
      <c r="P31" s="220"/>
    </row>
    <row r="32" customFormat="false" ht="18" hidden="false" customHeight="true" outlineLevel="0" collapsed="false">
      <c r="A32" s="203"/>
      <c r="B32" s="222"/>
      <c r="C32" s="223"/>
      <c r="D32" s="224"/>
      <c r="E32" s="224" t="str">
        <f aca="false">IF(D32="","",IF(D32&gt;=80,"√","x"))</f>
        <v/>
      </c>
      <c r="F32" s="225"/>
      <c r="G32" s="226"/>
      <c r="H32" s="220"/>
      <c r="I32" s="220"/>
      <c r="J32" s="220"/>
      <c r="K32" s="220"/>
      <c r="L32" s="220"/>
      <c r="M32" s="221"/>
      <c r="N32" s="220"/>
      <c r="O32" s="220"/>
      <c r="P32" s="220"/>
    </row>
    <row r="33" customFormat="false" ht="18" hidden="false" customHeight="true" outlineLevel="0" collapsed="false">
      <c r="A33" s="203"/>
      <c r="B33" s="222"/>
      <c r="C33" s="223"/>
      <c r="D33" s="224"/>
      <c r="E33" s="224" t="str">
        <f aca="false">IF(D33="","",IF(D33&gt;=80,"√","x"))</f>
        <v/>
      </c>
      <c r="F33" s="225"/>
      <c r="G33" s="226"/>
      <c r="H33" s="220"/>
      <c r="I33" s="220"/>
      <c r="J33" s="220"/>
      <c r="K33" s="220"/>
      <c r="L33" s="220"/>
      <c r="M33" s="221"/>
      <c r="N33" s="220"/>
      <c r="O33" s="220"/>
      <c r="P33" s="220"/>
    </row>
    <row r="34" customFormat="false" ht="18" hidden="false" customHeight="true" outlineLevel="0" collapsed="false">
      <c r="A34" s="203"/>
      <c r="B34" s="222"/>
      <c r="C34" s="223"/>
      <c r="D34" s="224"/>
      <c r="E34" s="224" t="str">
        <f aca="false">IF(D34="","",IF(D34&gt;=80,"√","x"))</f>
        <v/>
      </c>
      <c r="F34" s="225"/>
      <c r="G34" s="226"/>
      <c r="H34" s="220"/>
      <c r="I34" s="220"/>
      <c r="J34" s="220"/>
      <c r="K34" s="220"/>
      <c r="L34" s="220"/>
      <c r="M34" s="221"/>
      <c r="N34" s="220"/>
      <c r="O34" s="220"/>
      <c r="P34" s="220"/>
    </row>
    <row r="35" customFormat="false" ht="18" hidden="false" customHeight="true" outlineLevel="0" collapsed="false">
      <c r="A35" s="203"/>
      <c r="B35" s="222"/>
      <c r="C35" s="223"/>
      <c r="D35" s="224"/>
      <c r="E35" s="224" t="str">
        <f aca="false">IF(D35="","",IF(D35&gt;=80,"√","x"))</f>
        <v/>
      </c>
      <c r="F35" s="225"/>
      <c r="G35" s="226"/>
      <c r="H35" s="220"/>
      <c r="I35" s="220"/>
      <c r="J35" s="220"/>
      <c r="K35" s="220"/>
      <c r="L35" s="220"/>
      <c r="M35" s="221"/>
      <c r="N35" s="220"/>
      <c r="O35" s="220"/>
      <c r="P35" s="220"/>
    </row>
    <row r="36" customFormat="false" ht="18" hidden="false" customHeight="true" outlineLevel="0" collapsed="false">
      <c r="A36" s="203"/>
      <c r="B36" s="222"/>
      <c r="C36" s="223"/>
      <c r="D36" s="224"/>
      <c r="E36" s="224" t="str">
        <f aca="false">IF(D36="","",IF(D36&gt;=80,"√","x"))</f>
        <v/>
      </c>
      <c r="F36" s="225"/>
      <c r="G36" s="226"/>
      <c r="H36" s="220"/>
      <c r="I36" s="220"/>
      <c r="J36" s="220"/>
      <c r="K36" s="220"/>
      <c r="L36" s="220"/>
      <c r="M36" s="221"/>
      <c r="N36" s="220"/>
      <c r="O36" s="220"/>
      <c r="P36" s="220"/>
    </row>
    <row r="37" customFormat="false" ht="18" hidden="false" customHeight="true" outlineLevel="0" collapsed="false">
      <c r="A37" s="203"/>
      <c r="B37" s="222"/>
      <c r="C37" s="223"/>
      <c r="D37" s="224"/>
      <c r="E37" s="224" t="str">
        <f aca="false">IF(D37="","",IF(D37&gt;=80,"√","x"))</f>
        <v/>
      </c>
      <c r="F37" s="225"/>
      <c r="G37" s="226"/>
      <c r="H37" s="220"/>
      <c r="I37" s="220"/>
      <c r="J37" s="220"/>
      <c r="K37" s="220"/>
      <c r="L37" s="220"/>
      <c r="M37" s="221"/>
      <c r="N37" s="220"/>
      <c r="O37" s="220"/>
      <c r="P37" s="220"/>
    </row>
    <row r="38" customFormat="false" ht="18" hidden="false" customHeight="true" outlineLevel="0" collapsed="false">
      <c r="A38" s="203"/>
      <c r="B38" s="222"/>
      <c r="C38" s="223"/>
      <c r="D38" s="224"/>
      <c r="E38" s="224" t="str">
        <f aca="false">IF(D38="","",IF(D38&gt;=80,"√","x"))</f>
        <v/>
      </c>
      <c r="F38" s="225"/>
      <c r="G38" s="226"/>
      <c r="H38" s="220"/>
      <c r="I38" s="220"/>
      <c r="J38" s="220"/>
      <c r="K38" s="220"/>
      <c r="L38" s="220"/>
      <c r="M38" s="221"/>
      <c r="N38" s="220"/>
      <c r="O38" s="220"/>
      <c r="P38" s="220"/>
    </row>
    <row r="39" customFormat="false" ht="18" hidden="false" customHeight="true" outlineLevel="0" collapsed="false">
      <c r="A39" s="203"/>
      <c r="B39" s="222"/>
      <c r="C39" s="223"/>
      <c r="D39" s="224"/>
      <c r="E39" s="224" t="str">
        <f aca="false">IF(D39="","",IF(D39&gt;=80,"√","x"))</f>
        <v/>
      </c>
      <c r="F39" s="225"/>
      <c r="G39" s="226"/>
      <c r="H39" s="220"/>
      <c r="I39" s="220"/>
      <c r="J39" s="220"/>
      <c r="K39" s="220"/>
      <c r="L39" s="220"/>
      <c r="M39" s="221"/>
      <c r="N39" s="220"/>
      <c r="O39" s="220"/>
      <c r="P39" s="220"/>
    </row>
    <row r="40" customFormat="false" ht="18" hidden="false" customHeight="true" outlineLevel="0" collapsed="false">
      <c r="A40" s="203"/>
      <c r="B40" s="222"/>
      <c r="C40" s="223"/>
      <c r="D40" s="224"/>
      <c r="E40" s="224" t="str">
        <f aca="false">IF(D40="","",IF(D40&gt;=80,"√","x"))</f>
        <v/>
      </c>
      <c r="F40" s="225"/>
      <c r="G40" s="226"/>
      <c r="H40" s="220"/>
      <c r="I40" s="220"/>
      <c r="J40" s="220"/>
      <c r="K40" s="220"/>
      <c r="L40" s="220"/>
      <c r="M40" s="221"/>
      <c r="N40" s="220"/>
      <c r="O40" s="220"/>
      <c r="P40" s="220"/>
    </row>
    <row r="41" customFormat="false" ht="18" hidden="false" customHeight="true" outlineLevel="0" collapsed="false">
      <c r="A41" s="203"/>
      <c r="B41" s="222"/>
      <c r="C41" s="223"/>
      <c r="D41" s="224"/>
      <c r="E41" s="224" t="str">
        <f aca="false">IF(D41="","",IF(D41&gt;=80,"√","x"))</f>
        <v/>
      </c>
      <c r="F41" s="225"/>
      <c r="G41" s="226"/>
      <c r="H41" s="220"/>
      <c r="I41" s="220"/>
      <c r="J41" s="220"/>
      <c r="K41" s="220"/>
      <c r="L41" s="220"/>
      <c r="M41" s="221"/>
      <c r="N41" s="220"/>
      <c r="O41" s="220"/>
      <c r="P41" s="220"/>
    </row>
    <row r="42" customFormat="false" ht="18" hidden="false" customHeight="true" outlineLevel="0" collapsed="false">
      <c r="A42" s="203"/>
      <c r="B42" s="227"/>
      <c r="C42" s="223"/>
      <c r="D42" s="224"/>
      <c r="E42" s="224" t="str">
        <f aca="false">IF(D42="","",IF(D42&gt;=80,"√","x"))</f>
        <v/>
      </c>
      <c r="F42" s="228"/>
      <c r="G42" s="229"/>
      <c r="H42" s="220"/>
      <c r="I42" s="220"/>
      <c r="J42" s="220"/>
      <c r="K42" s="220"/>
      <c r="L42" s="220"/>
      <c r="M42" s="221" t="str">
        <f aca="false">IF(ISBLANK(D5),"",IF(D5&gt;=80,"√","X"))</f>
        <v/>
      </c>
      <c r="N42" s="220"/>
      <c r="O42" s="220"/>
      <c r="P42" s="220"/>
    </row>
    <row r="43" customFormat="false" ht="18" hidden="false" customHeight="true" outlineLevel="0" collapsed="false">
      <c r="A43" s="203"/>
      <c r="B43" s="227"/>
      <c r="C43" s="223"/>
      <c r="D43" s="224"/>
      <c r="E43" s="224" t="str">
        <f aca="false">IF(D43="","",IF(D43&gt;=80,"√","x"))</f>
        <v/>
      </c>
      <c r="F43" s="228"/>
      <c r="G43" s="229"/>
      <c r="H43" s="220"/>
      <c r="I43" s="220"/>
      <c r="J43" s="220"/>
      <c r="K43" s="220"/>
      <c r="L43" s="220"/>
      <c r="M43" s="221"/>
      <c r="N43" s="220"/>
      <c r="O43" s="220"/>
      <c r="P43" s="220"/>
    </row>
    <row r="44" customFormat="false" ht="19.5" hidden="false" customHeight="true" outlineLevel="0" collapsed="false">
      <c r="A44" s="203"/>
      <c r="B44" s="227"/>
      <c r="C44" s="223"/>
      <c r="D44" s="224"/>
      <c r="E44" s="224" t="str">
        <f aca="false">IF(D44="","",IF(D44&gt;=80,"√","x"))</f>
        <v/>
      </c>
      <c r="F44" s="228"/>
      <c r="G44" s="229"/>
      <c r="H44" s="220"/>
      <c r="I44" s="220"/>
      <c r="J44" s="220"/>
      <c r="K44" s="220"/>
      <c r="L44" s="220"/>
      <c r="M44" s="221"/>
      <c r="N44" s="220"/>
      <c r="O44" s="220"/>
      <c r="P44" s="220"/>
    </row>
    <row r="45" customFormat="false" ht="19.5" hidden="false" customHeight="true" outlineLevel="0" collapsed="false">
      <c r="A45" s="203"/>
      <c r="B45" s="227"/>
      <c r="C45" s="223"/>
      <c r="D45" s="224"/>
      <c r="E45" s="224" t="str">
        <f aca="false">IF(D45="","",IF(D45&gt;=80,"√","x"))</f>
        <v/>
      </c>
      <c r="F45" s="228"/>
      <c r="G45" s="229"/>
      <c r="H45" s="220"/>
      <c r="I45" s="220"/>
      <c r="J45" s="220"/>
      <c r="K45" s="220"/>
      <c r="L45" s="220"/>
      <c r="M45" s="221"/>
      <c r="N45" s="220"/>
      <c r="O45" s="220"/>
      <c r="P45" s="220"/>
    </row>
    <row r="46" customFormat="false" ht="19.5" hidden="false" customHeight="true" outlineLevel="0" collapsed="false">
      <c r="A46" s="203"/>
      <c r="B46" s="227"/>
      <c r="C46" s="223"/>
      <c r="D46" s="224"/>
      <c r="E46" s="224" t="str">
        <f aca="false">IF(D46="","",IF(D46&gt;=80,"√","x"))</f>
        <v/>
      </c>
      <c r="F46" s="228"/>
      <c r="G46" s="229"/>
      <c r="H46" s="220"/>
      <c r="I46" s="220"/>
      <c r="J46" s="220"/>
      <c r="K46" s="220"/>
      <c r="L46" s="220"/>
      <c r="M46" s="221"/>
      <c r="N46" s="220"/>
      <c r="O46" s="220"/>
      <c r="P46" s="220"/>
    </row>
    <row r="47" customFormat="false" ht="19.5" hidden="false" customHeight="true" outlineLevel="0" collapsed="false">
      <c r="A47" s="203"/>
      <c r="B47" s="227"/>
      <c r="C47" s="223"/>
      <c r="D47" s="224"/>
      <c r="E47" s="224" t="str">
        <f aca="false">IF(D47="","",IF(D47&gt;=80,"√","x"))</f>
        <v/>
      </c>
      <c r="F47" s="228"/>
      <c r="G47" s="229"/>
      <c r="H47" s="220"/>
      <c r="I47" s="220"/>
      <c r="J47" s="220"/>
      <c r="K47" s="220"/>
      <c r="L47" s="220"/>
      <c r="M47" s="221"/>
      <c r="N47" s="220"/>
      <c r="O47" s="220"/>
      <c r="P47" s="220"/>
    </row>
    <row r="48" customFormat="false" ht="19.5" hidden="false" customHeight="true" outlineLevel="0" collapsed="false">
      <c r="A48" s="203"/>
      <c r="B48" s="227"/>
      <c r="C48" s="223"/>
      <c r="D48" s="224"/>
      <c r="E48" s="224" t="str">
        <f aca="false">IF(D48="","",IF(D48&gt;=80,"√","x"))</f>
        <v/>
      </c>
      <c r="F48" s="228"/>
      <c r="G48" s="229"/>
      <c r="H48" s="220"/>
      <c r="I48" s="220"/>
      <c r="J48" s="220"/>
      <c r="K48" s="220"/>
      <c r="L48" s="220"/>
      <c r="M48" s="221"/>
      <c r="N48" s="220"/>
      <c r="O48" s="220"/>
      <c r="P48" s="220"/>
    </row>
    <row r="49" customFormat="false" ht="19.5" hidden="false" customHeight="true" outlineLevel="0" collapsed="false">
      <c r="A49" s="203"/>
      <c r="B49" s="227"/>
      <c r="C49" s="223"/>
      <c r="D49" s="224"/>
      <c r="E49" s="224" t="str">
        <f aca="false">IF(D49="","",IF(D49&gt;=80,"√","x"))</f>
        <v/>
      </c>
      <c r="F49" s="228"/>
      <c r="G49" s="229"/>
      <c r="H49" s="220"/>
      <c r="I49" s="220"/>
      <c r="J49" s="220"/>
      <c r="K49" s="220"/>
      <c r="L49" s="220"/>
      <c r="M49" s="221"/>
      <c r="N49" s="220"/>
      <c r="O49" s="220"/>
      <c r="P49" s="220"/>
    </row>
    <row r="50" customFormat="false" ht="19.5" hidden="false" customHeight="true" outlineLevel="0" collapsed="false">
      <c r="A50" s="203"/>
      <c r="B50" s="227"/>
      <c r="C50" s="223"/>
      <c r="D50" s="224"/>
      <c r="E50" s="224" t="str">
        <f aca="false">IF(D50="","",IF(D50&gt;=80,"√","x"))</f>
        <v/>
      </c>
      <c r="F50" s="228"/>
      <c r="G50" s="229"/>
      <c r="H50" s="220"/>
      <c r="I50" s="220"/>
      <c r="J50" s="220"/>
      <c r="K50" s="220"/>
      <c r="L50" s="220"/>
      <c r="M50" s="221"/>
      <c r="N50" s="220"/>
      <c r="O50" s="220"/>
      <c r="P50" s="220"/>
    </row>
    <row r="51" customFormat="false" ht="19.5" hidden="false" customHeight="true" outlineLevel="0" collapsed="false">
      <c r="A51" s="203"/>
      <c r="B51" s="227"/>
      <c r="C51" s="223"/>
      <c r="D51" s="224"/>
      <c r="E51" s="224" t="str">
        <f aca="false">IF(D51="","",IF(D51&gt;=80,"√","x"))</f>
        <v/>
      </c>
      <c r="F51" s="228"/>
      <c r="G51" s="229"/>
      <c r="H51" s="220"/>
      <c r="I51" s="220"/>
      <c r="J51" s="220"/>
      <c r="K51" s="220"/>
      <c r="L51" s="220"/>
      <c r="M51" s="221"/>
      <c r="N51" s="220"/>
      <c r="O51" s="220"/>
      <c r="P51" s="220"/>
    </row>
    <row r="52" customFormat="false" ht="19.5" hidden="false" customHeight="true" outlineLevel="0" collapsed="false">
      <c r="A52" s="203"/>
      <c r="B52" s="227"/>
      <c r="C52" s="223"/>
      <c r="D52" s="224"/>
      <c r="E52" s="224" t="str">
        <f aca="false">IF(D52="","",IF(D52&gt;=80,"√","x"))</f>
        <v/>
      </c>
      <c r="F52" s="228"/>
      <c r="G52" s="229"/>
      <c r="H52" s="220"/>
      <c r="I52" s="220"/>
      <c r="J52" s="220"/>
      <c r="K52" s="220"/>
      <c r="L52" s="220"/>
      <c r="M52" s="221"/>
      <c r="N52" s="220"/>
      <c r="O52" s="220"/>
      <c r="P52" s="220"/>
    </row>
    <row r="53" customFormat="false" ht="19.5" hidden="false" customHeight="true" outlineLevel="0" collapsed="false">
      <c r="A53" s="203"/>
      <c r="B53" s="227"/>
      <c r="C53" s="223"/>
      <c r="D53" s="224"/>
      <c r="E53" s="224" t="str">
        <f aca="false">IF(D53="","",IF(D53&gt;=80,"√","x"))</f>
        <v/>
      </c>
      <c r="F53" s="228"/>
      <c r="G53" s="229"/>
      <c r="H53" s="220"/>
      <c r="I53" s="220"/>
      <c r="J53" s="220"/>
      <c r="K53" s="220"/>
      <c r="L53" s="220"/>
      <c r="M53" s="221"/>
      <c r="N53" s="220"/>
      <c r="O53" s="220"/>
      <c r="P53" s="220"/>
    </row>
    <row r="54" customFormat="false" ht="19.5" hidden="false" customHeight="true" outlineLevel="0" collapsed="false">
      <c r="A54" s="203"/>
      <c r="B54" s="227"/>
      <c r="C54" s="223"/>
      <c r="D54" s="224"/>
      <c r="E54" s="224" t="str">
        <f aca="false">IF(D54="","",IF(D54&gt;=80,"√","x"))</f>
        <v/>
      </c>
      <c r="F54" s="228"/>
      <c r="G54" s="229"/>
      <c r="H54" s="220"/>
      <c r="I54" s="220"/>
      <c r="J54" s="220"/>
      <c r="K54" s="220"/>
      <c r="L54" s="220"/>
      <c r="M54" s="221"/>
      <c r="N54" s="220"/>
      <c r="O54" s="220"/>
      <c r="P54" s="220"/>
    </row>
    <row r="55" customFormat="false" ht="19.5" hidden="false" customHeight="true" outlineLevel="0" collapsed="false">
      <c r="A55" s="203"/>
      <c r="B55" s="227"/>
      <c r="C55" s="223"/>
      <c r="D55" s="224"/>
      <c r="E55" s="224" t="str">
        <f aca="false">IF(D55="","",IF(D55&gt;=80,"√","x"))</f>
        <v/>
      </c>
      <c r="F55" s="228"/>
      <c r="G55" s="229"/>
      <c r="H55" s="220"/>
      <c r="I55" s="220"/>
      <c r="J55" s="220"/>
      <c r="K55" s="220"/>
      <c r="L55" s="220"/>
      <c r="M55" s="221"/>
      <c r="N55" s="220"/>
      <c r="O55" s="220"/>
      <c r="P55" s="220"/>
    </row>
    <row r="56" customFormat="false" ht="19.5" hidden="false" customHeight="true" outlineLevel="0" collapsed="false">
      <c r="A56" s="203"/>
      <c r="B56" s="227"/>
      <c r="C56" s="223"/>
      <c r="D56" s="224"/>
      <c r="E56" s="224" t="str">
        <f aca="false">IF(D56="","",IF(D56&gt;=80,"√","x"))</f>
        <v/>
      </c>
      <c r="F56" s="228"/>
      <c r="G56" s="229"/>
      <c r="H56" s="220"/>
      <c r="I56" s="220"/>
      <c r="J56" s="220"/>
      <c r="K56" s="220"/>
      <c r="L56" s="220"/>
      <c r="M56" s="221"/>
      <c r="N56" s="220"/>
      <c r="O56" s="220"/>
      <c r="P56" s="220"/>
    </row>
    <row r="57" customFormat="false" ht="19.5" hidden="false" customHeight="true" outlineLevel="0" collapsed="false">
      <c r="B57" s="227"/>
      <c r="C57" s="223"/>
      <c r="D57" s="224"/>
      <c r="E57" s="224" t="str">
        <f aca="false">IF(D57="","",IF(D57&gt;=80,"√","x"))</f>
        <v/>
      </c>
      <c r="F57" s="228"/>
      <c r="G57" s="229"/>
      <c r="H57" s="220"/>
      <c r="I57" s="220"/>
      <c r="J57" s="220"/>
      <c r="K57" s="220"/>
      <c r="L57" s="220"/>
      <c r="M57" s="221"/>
      <c r="N57" s="220"/>
      <c r="O57" s="220"/>
      <c r="P57" s="220"/>
    </row>
    <row r="58" customFormat="false" ht="19.5" hidden="false" customHeight="true" outlineLevel="0" collapsed="false">
      <c r="B58" s="227"/>
      <c r="C58" s="223"/>
      <c r="D58" s="224"/>
      <c r="E58" s="224" t="str">
        <f aca="false">IF(D58="","",IF(D58&gt;=80,"√","x"))</f>
        <v/>
      </c>
      <c r="F58" s="228"/>
      <c r="G58" s="229"/>
      <c r="H58" s="220"/>
      <c r="I58" s="220"/>
      <c r="J58" s="220"/>
      <c r="K58" s="220"/>
      <c r="L58" s="220"/>
      <c r="M58" s="221"/>
      <c r="N58" s="220"/>
      <c r="O58" s="220"/>
      <c r="P58" s="220"/>
    </row>
    <row r="59" customFormat="false" ht="19.5" hidden="false" customHeight="true" outlineLevel="0" collapsed="false">
      <c r="B59" s="227"/>
      <c r="C59" s="223"/>
      <c r="D59" s="224"/>
      <c r="E59" s="224" t="str">
        <f aca="false">IF(D59="","",IF(D59&gt;=80,"√","x"))</f>
        <v/>
      </c>
      <c r="F59" s="228"/>
      <c r="G59" s="229"/>
      <c r="H59" s="220"/>
      <c r="I59" s="220"/>
      <c r="J59" s="220"/>
      <c r="K59" s="220"/>
      <c r="L59" s="220"/>
      <c r="M59" s="221"/>
      <c r="N59" s="220"/>
      <c r="O59" s="220"/>
      <c r="P59" s="220"/>
    </row>
    <row r="60" customFormat="false" ht="19.5" hidden="false" customHeight="true" outlineLevel="0" collapsed="false">
      <c r="B60" s="227"/>
      <c r="C60" s="223"/>
      <c r="D60" s="224"/>
      <c r="E60" s="224" t="str">
        <f aca="false">IF(D60="","",IF(D60&gt;=80,"√","x"))</f>
        <v/>
      </c>
      <c r="F60" s="228"/>
      <c r="G60" s="229"/>
      <c r="H60" s="220"/>
      <c r="I60" s="220"/>
      <c r="J60" s="220"/>
      <c r="K60" s="220"/>
      <c r="L60" s="220"/>
      <c r="M60" s="221"/>
      <c r="N60" s="220"/>
      <c r="O60" s="220"/>
      <c r="P60" s="220"/>
    </row>
    <row r="61" customFormat="false" ht="19.5" hidden="false" customHeight="true" outlineLevel="0" collapsed="false">
      <c r="B61" s="227"/>
      <c r="C61" s="223"/>
      <c r="D61" s="224"/>
      <c r="E61" s="224" t="str">
        <f aca="false">IF(D61="","",IF(D61&gt;=80,"√","x"))</f>
        <v/>
      </c>
      <c r="F61" s="228"/>
      <c r="G61" s="229"/>
      <c r="H61" s="220"/>
      <c r="I61" s="220"/>
      <c r="J61" s="220"/>
      <c r="K61" s="220"/>
      <c r="L61" s="220"/>
      <c r="M61" s="221"/>
      <c r="N61" s="220"/>
      <c r="O61" s="220"/>
      <c r="P61" s="220"/>
    </row>
    <row r="62" customFormat="false" ht="19.5" hidden="false" customHeight="true" outlineLevel="0" collapsed="false">
      <c r="B62" s="227"/>
      <c r="C62" s="223"/>
      <c r="D62" s="224"/>
      <c r="E62" s="224" t="str">
        <f aca="false">IF(D62="","",IF(D62&gt;=80,"√","x"))</f>
        <v/>
      </c>
      <c r="F62" s="228"/>
      <c r="G62" s="229"/>
      <c r="H62" s="220"/>
      <c r="I62" s="220"/>
      <c r="J62" s="220"/>
      <c r="K62" s="220"/>
      <c r="L62" s="220"/>
      <c r="M62" s="221"/>
      <c r="N62" s="220"/>
      <c r="O62" s="220"/>
      <c r="P62" s="220"/>
    </row>
    <row r="63" customFormat="false" ht="19.5" hidden="false" customHeight="true" outlineLevel="0" collapsed="false">
      <c r="B63" s="227"/>
      <c r="C63" s="223"/>
      <c r="D63" s="224"/>
      <c r="E63" s="224" t="str">
        <f aca="false">IF(D63="","",IF(D63&gt;=80,"√","x"))</f>
        <v/>
      </c>
      <c r="F63" s="228"/>
      <c r="G63" s="229"/>
      <c r="H63" s="220"/>
      <c r="I63" s="220"/>
      <c r="J63" s="220"/>
      <c r="K63" s="220"/>
      <c r="L63" s="220"/>
      <c r="M63" s="221"/>
      <c r="N63" s="220"/>
      <c r="O63" s="220"/>
      <c r="P63" s="220"/>
    </row>
    <row r="64" customFormat="false" ht="19.5" hidden="false" customHeight="true" outlineLevel="0" collapsed="false">
      <c r="B64" s="227"/>
      <c r="C64" s="223"/>
      <c r="D64" s="224"/>
      <c r="E64" s="224" t="str">
        <f aca="false">IF(D64="","",IF(D64&gt;=80,"√","x"))</f>
        <v/>
      </c>
      <c r="F64" s="228"/>
      <c r="G64" s="229"/>
      <c r="H64" s="220"/>
      <c r="I64" s="220"/>
      <c r="J64" s="220"/>
      <c r="K64" s="220"/>
      <c r="L64" s="220"/>
      <c r="M64" s="221"/>
      <c r="N64" s="220"/>
      <c r="O64" s="220"/>
      <c r="P64" s="220"/>
    </row>
    <row r="65" customFormat="false" ht="19.5" hidden="false" customHeight="true" outlineLevel="0" collapsed="false">
      <c r="B65" s="227"/>
      <c r="C65" s="223"/>
      <c r="D65" s="224"/>
      <c r="E65" s="224" t="str">
        <f aca="false">IF(D65="","",IF(D65&gt;=80,"√","x"))</f>
        <v/>
      </c>
      <c r="F65" s="228"/>
      <c r="G65" s="229"/>
      <c r="H65" s="220"/>
      <c r="I65" s="220"/>
      <c r="J65" s="220"/>
      <c r="K65" s="220"/>
      <c r="L65" s="220"/>
      <c r="M65" s="221"/>
      <c r="N65" s="220"/>
      <c r="O65" s="220"/>
      <c r="P65" s="220"/>
    </row>
    <row r="66" customFormat="false" ht="14.25" hidden="false" customHeight="true" outlineLevel="0" collapsed="false">
      <c r="B66" s="230"/>
      <c r="C66" s="231"/>
      <c r="D66" s="232"/>
      <c r="E66" s="233" t="n">
        <f aca="false">COUNTIF(E5:E65,"√")</f>
        <v>0</v>
      </c>
      <c r="F66" s="234" t="s">
        <v>208</v>
      </c>
      <c r="G66" s="235"/>
      <c r="H66" s="1"/>
      <c r="I66" s="1"/>
      <c r="J66" s="1"/>
      <c r="K66" s="1"/>
      <c r="L66" s="1"/>
      <c r="M66" s="214"/>
      <c r="N66" s="1"/>
      <c r="O66" s="1"/>
      <c r="P66" s="1"/>
    </row>
    <row r="67" customFormat="false" ht="14.25" hidden="false" customHeight="true" outlineLevel="0" collapsed="false">
      <c r="B67" s="236"/>
      <c r="C67" s="237"/>
      <c r="D67" s="238"/>
      <c r="E67" s="239" t="n">
        <f aca="false">COUNTA(B5:B65)</f>
        <v>0</v>
      </c>
      <c r="F67" s="240" t="s">
        <v>209</v>
      </c>
      <c r="G67" s="241"/>
      <c r="M67" s="214"/>
    </row>
    <row r="68" customFormat="false" ht="48" hidden="false" customHeight="true" outlineLevel="0" collapsed="false">
      <c r="B68" s="242"/>
      <c r="C68" s="243"/>
      <c r="D68" s="244"/>
      <c r="E68" s="245" t="e">
        <f aca="false">(E66/E67)*100</f>
        <v>#DIV/0!</v>
      </c>
      <c r="F68" s="246" t="str">
        <f aca="false">IFERROR(IF(E68&gt;60,"ODL PROGRAMME", "NOT MEETING MINIMUM REQUIREMENT OF ODL PROGRAMME"),"")</f>
        <v/>
      </c>
      <c r="G68" s="247" t="s">
        <v>210</v>
      </c>
      <c r="M68" s="214"/>
    </row>
    <row r="69" customFormat="false" ht="14.25" hidden="false" customHeight="true" outlineLevel="0" collapsed="false">
      <c r="E69" s="248"/>
      <c r="M69" s="214"/>
    </row>
    <row r="70" customFormat="false" ht="14.25" hidden="false" customHeight="true" outlineLevel="0" collapsed="false">
      <c r="M70" s="214"/>
    </row>
    <row r="71" customFormat="false" ht="14.25" hidden="false" customHeight="true" outlineLevel="0" collapsed="false">
      <c r="M71" s="214"/>
    </row>
    <row r="72" customFormat="false" ht="14.25" hidden="false" customHeight="true" outlineLevel="0" collapsed="false">
      <c r="M72" s="214"/>
    </row>
    <row r="73" customFormat="false" ht="14.25" hidden="false" customHeight="true" outlineLevel="0" collapsed="false">
      <c r="M73" s="214"/>
    </row>
    <row r="74" customFormat="false" ht="14.25" hidden="false" customHeight="true" outlineLevel="0" collapsed="false">
      <c r="M74" s="214"/>
    </row>
    <row r="75" customFormat="false" ht="14.25" hidden="false" customHeight="true" outlineLevel="0" collapsed="false">
      <c r="M75" s="214"/>
    </row>
    <row r="76" customFormat="false" ht="14.25" hidden="false" customHeight="true" outlineLevel="0" collapsed="false">
      <c r="M76" s="214"/>
    </row>
    <row r="77" customFormat="false" ht="14.25" hidden="false" customHeight="true" outlineLevel="0" collapsed="false">
      <c r="M77" s="214"/>
    </row>
    <row r="78" customFormat="false" ht="14.25" hidden="false" customHeight="true" outlineLevel="0" collapsed="false">
      <c r="M78" s="214"/>
    </row>
    <row r="79" customFormat="false" ht="14.25" hidden="false" customHeight="true" outlineLevel="0" collapsed="false">
      <c r="M79" s="214"/>
    </row>
    <row r="80" customFormat="false" ht="14.25" hidden="false" customHeight="true" outlineLevel="0" collapsed="false">
      <c r="M80" s="214"/>
    </row>
    <row r="81" customFormat="false" ht="14.25" hidden="false" customHeight="true" outlineLevel="0" collapsed="false">
      <c r="M81" s="214"/>
    </row>
    <row r="82" customFormat="false" ht="14.25" hidden="false" customHeight="true" outlineLevel="0" collapsed="false">
      <c r="M82" s="214"/>
    </row>
    <row r="83" customFormat="false" ht="14.25" hidden="false" customHeight="true" outlineLevel="0" collapsed="false">
      <c r="M83" s="214"/>
    </row>
    <row r="84" customFormat="false" ht="14.25" hidden="false" customHeight="true" outlineLevel="0" collapsed="false">
      <c r="M84" s="214"/>
    </row>
    <row r="85" customFormat="false" ht="14.25" hidden="false" customHeight="true" outlineLevel="0" collapsed="false">
      <c r="M85" s="214"/>
    </row>
    <row r="86" customFormat="false" ht="14.25" hidden="false" customHeight="true" outlineLevel="0" collapsed="false">
      <c r="M86" s="214"/>
    </row>
    <row r="87" customFormat="false" ht="14.25" hidden="false" customHeight="true" outlineLevel="0" collapsed="false">
      <c r="M87" s="214"/>
    </row>
    <row r="88" customFormat="false" ht="14.25" hidden="false" customHeight="true" outlineLevel="0" collapsed="false">
      <c r="M88" s="214"/>
    </row>
    <row r="89" customFormat="false" ht="14.25" hidden="false" customHeight="true" outlineLevel="0" collapsed="false">
      <c r="M89" s="214"/>
    </row>
    <row r="90" customFormat="false" ht="14.25" hidden="false" customHeight="true" outlineLevel="0" collapsed="false">
      <c r="M90" s="214"/>
    </row>
    <row r="91" customFormat="false" ht="14.25" hidden="false" customHeight="true" outlineLevel="0" collapsed="false">
      <c r="M91" s="214"/>
    </row>
    <row r="92" customFormat="false" ht="14.25" hidden="false" customHeight="true" outlineLevel="0" collapsed="false">
      <c r="M92" s="214"/>
    </row>
    <row r="93" customFormat="false" ht="14.25" hidden="false" customHeight="true" outlineLevel="0" collapsed="false">
      <c r="M93" s="214"/>
    </row>
    <row r="94" customFormat="false" ht="14.25" hidden="false" customHeight="true" outlineLevel="0" collapsed="false">
      <c r="M94" s="214"/>
    </row>
    <row r="95" customFormat="false" ht="14.25" hidden="false" customHeight="true" outlineLevel="0" collapsed="false">
      <c r="M95" s="214"/>
    </row>
    <row r="96" customFormat="false" ht="14.25" hidden="false" customHeight="true" outlineLevel="0" collapsed="false">
      <c r="M96" s="214"/>
    </row>
    <row r="97" customFormat="false" ht="14.25" hidden="false" customHeight="true" outlineLevel="0" collapsed="false">
      <c r="M97" s="214"/>
    </row>
    <row r="98" customFormat="false" ht="14.25" hidden="false" customHeight="true" outlineLevel="0" collapsed="false">
      <c r="M98" s="214"/>
    </row>
    <row r="99" customFormat="false" ht="14.25" hidden="false" customHeight="true" outlineLevel="0" collapsed="false">
      <c r="M99" s="214"/>
    </row>
    <row r="100" customFormat="false" ht="14.25" hidden="false" customHeight="true" outlineLevel="0" collapsed="false">
      <c r="M100" s="214"/>
    </row>
    <row r="101" customFormat="false" ht="14.25" hidden="false" customHeight="true" outlineLevel="0" collapsed="false">
      <c r="M101" s="214"/>
    </row>
    <row r="102" customFormat="false" ht="14.25" hidden="false" customHeight="true" outlineLevel="0" collapsed="false">
      <c r="M102" s="214"/>
    </row>
    <row r="103" customFormat="false" ht="14.25" hidden="false" customHeight="true" outlineLevel="0" collapsed="false">
      <c r="M103" s="214"/>
    </row>
    <row r="104" customFormat="false" ht="14.25" hidden="false" customHeight="true" outlineLevel="0" collapsed="false">
      <c r="M104" s="214"/>
    </row>
    <row r="105" customFormat="false" ht="14.25" hidden="false" customHeight="true" outlineLevel="0" collapsed="false">
      <c r="M105" s="214"/>
    </row>
    <row r="106" customFormat="false" ht="14.25" hidden="false" customHeight="true" outlineLevel="0" collapsed="false">
      <c r="M106" s="214"/>
    </row>
    <row r="107" customFormat="false" ht="14.25" hidden="false" customHeight="true" outlineLevel="0" collapsed="false">
      <c r="M107" s="214"/>
    </row>
    <row r="108" customFormat="false" ht="14.25" hidden="false" customHeight="true" outlineLevel="0" collapsed="false">
      <c r="M108" s="214"/>
    </row>
    <row r="109" customFormat="false" ht="14.25" hidden="false" customHeight="true" outlineLevel="0" collapsed="false">
      <c r="M109" s="214"/>
    </row>
    <row r="110" customFormat="false" ht="14.25" hidden="false" customHeight="true" outlineLevel="0" collapsed="false">
      <c r="M110" s="214"/>
    </row>
    <row r="111" customFormat="false" ht="14.25" hidden="false" customHeight="true" outlineLevel="0" collapsed="false">
      <c r="M111" s="214"/>
    </row>
    <row r="112" customFormat="false" ht="14.25" hidden="false" customHeight="true" outlineLevel="0" collapsed="false">
      <c r="M112" s="214"/>
    </row>
    <row r="113" customFormat="false" ht="14.25" hidden="false" customHeight="true" outlineLevel="0" collapsed="false">
      <c r="M113" s="214"/>
    </row>
    <row r="114" customFormat="false" ht="14.25" hidden="false" customHeight="true" outlineLevel="0" collapsed="false">
      <c r="M114" s="214"/>
    </row>
    <row r="115" customFormat="false" ht="14.25" hidden="false" customHeight="true" outlineLevel="0" collapsed="false">
      <c r="M115" s="214"/>
    </row>
    <row r="116" customFormat="false" ht="14.25" hidden="false" customHeight="true" outlineLevel="0" collapsed="false">
      <c r="M116" s="214"/>
    </row>
    <row r="117" customFormat="false" ht="14.25" hidden="false" customHeight="true" outlineLevel="0" collapsed="false">
      <c r="M117" s="214"/>
    </row>
    <row r="118" customFormat="false" ht="14.25" hidden="false" customHeight="true" outlineLevel="0" collapsed="false">
      <c r="M118" s="214"/>
    </row>
    <row r="119" customFormat="false" ht="14.25" hidden="false" customHeight="true" outlineLevel="0" collapsed="false">
      <c r="M119" s="214"/>
    </row>
    <row r="120" customFormat="false" ht="14.25" hidden="false" customHeight="true" outlineLevel="0" collapsed="false">
      <c r="M120" s="214"/>
    </row>
    <row r="121" customFormat="false" ht="14.25" hidden="false" customHeight="true" outlineLevel="0" collapsed="false">
      <c r="M121" s="214"/>
    </row>
    <row r="122" customFormat="false" ht="14.25" hidden="false" customHeight="true" outlineLevel="0" collapsed="false">
      <c r="M122" s="214"/>
    </row>
    <row r="123" customFormat="false" ht="14.25" hidden="false" customHeight="true" outlineLevel="0" collapsed="false">
      <c r="M123" s="214"/>
    </row>
    <row r="124" customFormat="false" ht="14.25" hidden="false" customHeight="true" outlineLevel="0" collapsed="false">
      <c r="M124" s="214"/>
    </row>
    <row r="125" customFormat="false" ht="14.25" hidden="false" customHeight="true" outlineLevel="0" collapsed="false">
      <c r="M125" s="214"/>
    </row>
    <row r="126" customFormat="false" ht="14.25" hidden="false" customHeight="true" outlineLevel="0" collapsed="false">
      <c r="M126" s="214"/>
    </row>
    <row r="127" customFormat="false" ht="14.25" hidden="false" customHeight="true" outlineLevel="0" collapsed="false">
      <c r="M127" s="214"/>
    </row>
    <row r="128" customFormat="false" ht="14.25" hidden="false" customHeight="true" outlineLevel="0" collapsed="false">
      <c r="M128" s="214"/>
    </row>
    <row r="129" customFormat="false" ht="14.25" hidden="false" customHeight="true" outlineLevel="0" collapsed="false">
      <c r="M129" s="214"/>
    </row>
    <row r="130" customFormat="false" ht="14.25" hidden="false" customHeight="true" outlineLevel="0" collapsed="false">
      <c r="M130" s="214"/>
    </row>
    <row r="131" customFormat="false" ht="14.25" hidden="false" customHeight="true" outlineLevel="0" collapsed="false">
      <c r="M131" s="214"/>
      <c r="Y131" s="1" t="n">
        <f aca="false">SUM(T92:T106)</f>
        <v>0</v>
      </c>
    </row>
    <row r="132" customFormat="false" ht="14.25" hidden="false" customHeight="true" outlineLevel="0" collapsed="false">
      <c r="M132" s="214"/>
    </row>
    <row r="133" customFormat="false" ht="14.25" hidden="false" customHeight="true" outlineLevel="0" collapsed="false">
      <c r="M133" s="214"/>
    </row>
    <row r="134" customFormat="false" ht="14.25" hidden="false" customHeight="true" outlineLevel="0" collapsed="false">
      <c r="M134" s="214"/>
    </row>
    <row r="135" customFormat="false" ht="14.25" hidden="false" customHeight="true" outlineLevel="0" collapsed="false">
      <c r="M135" s="214"/>
    </row>
    <row r="136" customFormat="false" ht="14.25" hidden="false" customHeight="true" outlineLevel="0" collapsed="false">
      <c r="M136" s="214"/>
    </row>
    <row r="137" customFormat="false" ht="14.25" hidden="false" customHeight="true" outlineLevel="0" collapsed="false">
      <c r="M137" s="214"/>
    </row>
    <row r="138" customFormat="false" ht="14.25" hidden="false" customHeight="true" outlineLevel="0" collapsed="false">
      <c r="M138" s="214"/>
    </row>
    <row r="139" customFormat="false" ht="14.25" hidden="false" customHeight="true" outlineLevel="0" collapsed="false">
      <c r="M139" s="214"/>
    </row>
    <row r="140" customFormat="false" ht="14.25" hidden="false" customHeight="true" outlineLevel="0" collapsed="false">
      <c r="M140" s="214"/>
    </row>
    <row r="141" customFormat="false" ht="14.25" hidden="false" customHeight="true" outlineLevel="0" collapsed="false">
      <c r="M141" s="214"/>
    </row>
    <row r="142" customFormat="false" ht="14.25" hidden="false" customHeight="true" outlineLevel="0" collapsed="false">
      <c r="M142" s="214"/>
    </row>
    <row r="143" customFormat="false" ht="14.25" hidden="false" customHeight="true" outlineLevel="0" collapsed="false">
      <c r="M143" s="214"/>
    </row>
    <row r="144" customFormat="false" ht="14.25" hidden="false" customHeight="true" outlineLevel="0" collapsed="false">
      <c r="M144" s="214"/>
    </row>
    <row r="145" customFormat="false" ht="14.25" hidden="false" customHeight="true" outlineLevel="0" collapsed="false">
      <c r="M145" s="214"/>
    </row>
    <row r="146" customFormat="false" ht="14.25" hidden="false" customHeight="true" outlineLevel="0" collapsed="false">
      <c r="M146" s="214"/>
    </row>
    <row r="147" customFormat="false" ht="14.25" hidden="false" customHeight="true" outlineLevel="0" collapsed="false">
      <c r="M147" s="214"/>
    </row>
    <row r="148" customFormat="false" ht="14.25" hidden="false" customHeight="true" outlineLevel="0" collapsed="false">
      <c r="M148" s="214"/>
    </row>
    <row r="149" customFormat="false" ht="14.25" hidden="false" customHeight="true" outlineLevel="0" collapsed="false">
      <c r="M149" s="214"/>
    </row>
    <row r="150" customFormat="false" ht="14.25" hidden="false" customHeight="true" outlineLevel="0" collapsed="false">
      <c r="M150" s="214"/>
    </row>
    <row r="151" customFormat="false" ht="14.25" hidden="false" customHeight="true" outlineLevel="0" collapsed="false">
      <c r="M151" s="214"/>
    </row>
    <row r="152" customFormat="false" ht="14.25" hidden="false" customHeight="true" outlineLevel="0" collapsed="false">
      <c r="M152" s="214"/>
    </row>
    <row r="153" customFormat="false" ht="14.25" hidden="false" customHeight="true" outlineLevel="0" collapsed="false">
      <c r="M153" s="214"/>
    </row>
    <row r="154" customFormat="false" ht="14.25" hidden="false" customHeight="true" outlineLevel="0" collapsed="false">
      <c r="M154" s="214"/>
    </row>
    <row r="155" customFormat="false" ht="14.25" hidden="false" customHeight="true" outlineLevel="0" collapsed="false">
      <c r="M155" s="214"/>
    </row>
    <row r="156" customFormat="false" ht="14.25" hidden="false" customHeight="true" outlineLevel="0" collapsed="false">
      <c r="M156" s="214"/>
    </row>
    <row r="157" customFormat="false" ht="14.25" hidden="false" customHeight="true" outlineLevel="0" collapsed="false">
      <c r="M157" s="214"/>
    </row>
    <row r="158" customFormat="false" ht="14.25" hidden="false" customHeight="true" outlineLevel="0" collapsed="false">
      <c r="M158" s="214"/>
    </row>
    <row r="159" customFormat="false" ht="14.25" hidden="false" customHeight="true" outlineLevel="0" collapsed="false">
      <c r="M159" s="214"/>
    </row>
    <row r="160" customFormat="false" ht="14.25" hidden="false" customHeight="true" outlineLevel="0" collapsed="false">
      <c r="M160" s="214"/>
    </row>
    <row r="161" customFormat="false" ht="14.25" hidden="false" customHeight="true" outlineLevel="0" collapsed="false">
      <c r="M161" s="214"/>
    </row>
    <row r="162" customFormat="false" ht="14.25" hidden="false" customHeight="true" outlineLevel="0" collapsed="false">
      <c r="M162" s="214"/>
    </row>
    <row r="163" customFormat="false" ht="14.25" hidden="false" customHeight="true" outlineLevel="0" collapsed="false">
      <c r="M163" s="214"/>
    </row>
    <row r="164" customFormat="false" ht="14.25" hidden="false" customHeight="true" outlineLevel="0" collapsed="false">
      <c r="M164" s="214"/>
    </row>
    <row r="165" customFormat="false" ht="14.25" hidden="false" customHeight="true" outlineLevel="0" collapsed="false">
      <c r="M165" s="214"/>
    </row>
    <row r="166" customFormat="false" ht="14.25" hidden="false" customHeight="true" outlineLevel="0" collapsed="false">
      <c r="M166" s="214"/>
    </row>
    <row r="167" customFormat="false" ht="14.25" hidden="false" customHeight="true" outlineLevel="0" collapsed="false">
      <c r="M167" s="214"/>
    </row>
    <row r="168" customFormat="false" ht="14.25" hidden="false" customHeight="true" outlineLevel="0" collapsed="false">
      <c r="M168" s="214"/>
    </row>
    <row r="169" customFormat="false" ht="14.25" hidden="false" customHeight="true" outlineLevel="0" collapsed="false">
      <c r="M169" s="214"/>
    </row>
    <row r="170" customFormat="false" ht="14.25" hidden="false" customHeight="true" outlineLevel="0" collapsed="false">
      <c r="M170" s="214"/>
    </row>
    <row r="171" customFormat="false" ht="14.25" hidden="false" customHeight="true" outlineLevel="0" collapsed="false">
      <c r="M171" s="214"/>
    </row>
    <row r="172" customFormat="false" ht="14.25" hidden="false" customHeight="true" outlineLevel="0" collapsed="false">
      <c r="M172" s="214"/>
    </row>
    <row r="173" customFormat="false" ht="14.25" hidden="false" customHeight="true" outlineLevel="0" collapsed="false">
      <c r="M173" s="214"/>
    </row>
    <row r="174" customFormat="false" ht="14.25" hidden="false" customHeight="true" outlineLevel="0" collapsed="false">
      <c r="M174" s="214"/>
    </row>
    <row r="175" customFormat="false" ht="14.25" hidden="false" customHeight="true" outlineLevel="0" collapsed="false">
      <c r="M175" s="214"/>
    </row>
    <row r="176" customFormat="false" ht="14.25" hidden="false" customHeight="true" outlineLevel="0" collapsed="false">
      <c r="M176" s="214"/>
    </row>
    <row r="177" customFormat="false" ht="14.25" hidden="false" customHeight="true" outlineLevel="0" collapsed="false">
      <c r="M177" s="214"/>
    </row>
    <row r="178" customFormat="false" ht="14.25" hidden="false" customHeight="true" outlineLevel="0" collapsed="false">
      <c r="M178" s="214"/>
    </row>
    <row r="179" customFormat="false" ht="14.25" hidden="false" customHeight="true" outlineLevel="0" collapsed="false">
      <c r="M179" s="214"/>
    </row>
    <row r="180" customFormat="false" ht="14.25" hidden="false" customHeight="true" outlineLevel="0" collapsed="false">
      <c r="M180" s="214"/>
    </row>
    <row r="181" customFormat="false" ht="14.25" hidden="false" customHeight="true" outlineLevel="0" collapsed="false">
      <c r="M181" s="214"/>
    </row>
    <row r="182" customFormat="false" ht="14.25" hidden="false" customHeight="true" outlineLevel="0" collapsed="false">
      <c r="M182" s="214"/>
    </row>
    <row r="183" customFormat="false" ht="14.25" hidden="false" customHeight="true" outlineLevel="0" collapsed="false">
      <c r="M183" s="214"/>
    </row>
    <row r="184" customFormat="false" ht="14.25" hidden="false" customHeight="true" outlineLevel="0" collapsed="false">
      <c r="M184" s="214"/>
    </row>
    <row r="185" customFormat="false" ht="14.25" hidden="false" customHeight="true" outlineLevel="0" collapsed="false">
      <c r="M185" s="214"/>
    </row>
    <row r="186" customFormat="false" ht="14.25" hidden="false" customHeight="true" outlineLevel="0" collapsed="false">
      <c r="M186" s="214"/>
    </row>
    <row r="187" customFormat="false" ht="14.25" hidden="false" customHeight="true" outlineLevel="0" collapsed="false">
      <c r="M187" s="214"/>
    </row>
    <row r="188" customFormat="false" ht="14.25" hidden="false" customHeight="true" outlineLevel="0" collapsed="false">
      <c r="M188" s="214"/>
    </row>
    <row r="189" customFormat="false" ht="14.25" hidden="false" customHeight="true" outlineLevel="0" collapsed="false">
      <c r="M189" s="214"/>
    </row>
    <row r="190" customFormat="false" ht="14.25" hidden="false" customHeight="true" outlineLevel="0" collapsed="false">
      <c r="M190" s="214"/>
    </row>
    <row r="191" customFormat="false" ht="14.25" hidden="false" customHeight="true" outlineLevel="0" collapsed="false">
      <c r="M191" s="214"/>
    </row>
    <row r="192" customFormat="false" ht="14.25" hidden="false" customHeight="true" outlineLevel="0" collapsed="false">
      <c r="M192" s="214"/>
    </row>
    <row r="193" customFormat="false" ht="14.25" hidden="false" customHeight="true" outlineLevel="0" collapsed="false">
      <c r="M193" s="214"/>
    </row>
    <row r="194" customFormat="false" ht="14.25" hidden="false" customHeight="true" outlineLevel="0" collapsed="false">
      <c r="M194" s="214"/>
    </row>
    <row r="195" customFormat="false" ht="14.25" hidden="false" customHeight="true" outlineLevel="0" collapsed="false">
      <c r="M195" s="214"/>
    </row>
    <row r="196" customFormat="false" ht="14.25" hidden="false" customHeight="true" outlineLevel="0" collapsed="false">
      <c r="M196" s="214"/>
    </row>
    <row r="197" customFormat="false" ht="14.25" hidden="false" customHeight="true" outlineLevel="0" collapsed="false">
      <c r="M197" s="214"/>
    </row>
    <row r="198" customFormat="false" ht="14.25" hidden="false" customHeight="true" outlineLevel="0" collapsed="false">
      <c r="M198" s="214"/>
    </row>
    <row r="199" customFormat="false" ht="14.25" hidden="false" customHeight="true" outlineLevel="0" collapsed="false">
      <c r="M199" s="214"/>
    </row>
    <row r="200" customFormat="false" ht="14.25" hidden="false" customHeight="true" outlineLevel="0" collapsed="false">
      <c r="M200" s="214"/>
    </row>
    <row r="201" customFormat="false" ht="14.25" hidden="false" customHeight="true" outlineLevel="0" collapsed="false">
      <c r="M201" s="214"/>
    </row>
    <row r="202" customFormat="false" ht="14.25" hidden="false" customHeight="true" outlineLevel="0" collapsed="false">
      <c r="M202" s="214"/>
    </row>
    <row r="203" customFormat="false" ht="14.25" hidden="false" customHeight="true" outlineLevel="0" collapsed="false">
      <c r="M203" s="214"/>
    </row>
    <row r="204" customFormat="false" ht="14.25" hidden="false" customHeight="true" outlineLevel="0" collapsed="false">
      <c r="M204" s="214"/>
    </row>
    <row r="205" customFormat="false" ht="14.25" hidden="false" customHeight="true" outlineLevel="0" collapsed="false">
      <c r="M205" s="214"/>
    </row>
    <row r="206" customFormat="false" ht="14.25" hidden="false" customHeight="true" outlineLevel="0" collapsed="false">
      <c r="M206" s="214"/>
    </row>
    <row r="207" customFormat="false" ht="14.25" hidden="false" customHeight="true" outlineLevel="0" collapsed="false">
      <c r="M207" s="214"/>
    </row>
    <row r="208" customFormat="false" ht="14.25" hidden="false" customHeight="true" outlineLevel="0" collapsed="false">
      <c r="M208" s="214"/>
    </row>
    <row r="209" customFormat="false" ht="14.25" hidden="false" customHeight="true" outlineLevel="0" collapsed="false">
      <c r="M209" s="214"/>
    </row>
    <row r="210" customFormat="false" ht="14.25" hidden="false" customHeight="true" outlineLevel="0" collapsed="false">
      <c r="M210" s="214"/>
    </row>
    <row r="211" customFormat="false" ht="14.25" hidden="false" customHeight="true" outlineLevel="0" collapsed="false">
      <c r="M211" s="214"/>
    </row>
    <row r="212" customFormat="false" ht="14.25" hidden="false" customHeight="true" outlineLevel="0" collapsed="false">
      <c r="M212" s="214"/>
    </row>
    <row r="213" customFormat="false" ht="14.25" hidden="false" customHeight="true" outlineLevel="0" collapsed="false">
      <c r="M213" s="214"/>
    </row>
    <row r="214" customFormat="false" ht="14.25" hidden="false" customHeight="true" outlineLevel="0" collapsed="false">
      <c r="M214" s="214"/>
    </row>
    <row r="215" customFormat="false" ht="14.25" hidden="false" customHeight="true" outlineLevel="0" collapsed="false">
      <c r="M215" s="214"/>
    </row>
    <row r="216" customFormat="false" ht="14.25" hidden="false" customHeight="true" outlineLevel="0" collapsed="false">
      <c r="M216" s="214"/>
    </row>
    <row r="217" customFormat="false" ht="14.25" hidden="false" customHeight="true" outlineLevel="0" collapsed="false">
      <c r="M217" s="214"/>
    </row>
    <row r="218" customFormat="false" ht="14.25" hidden="false" customHeight="true" outlineLevel="0" collapsed="false">
      <c r="M218" s="214"/>
    </row>
    <row r="219" customFormat="false" ht="14.25" hidden="false" customHeight="true" outlineLevel="0" collapsed="false">
      <c r="M219" s="214"/>
    </row>
    <row r="220" customFormat="false" ht="14.25" hidden="false" customHeight="true" outlineLevel="0" collapsed="false">
      <c r="M220" s="214"/>
    </row>
    <row r="221" customFormat="false" ht="14.25" hidden="false" customHeight="true" outlineLevel="0" collapsed="false">
      <c r="M221" s="214"/>
    </row>
    <row r="222" customFormat="false" ht="14.25" hidden="false" customHeight="true" outlineLevel="0" collapsed="false">
      <c r="M222" s="214"/>
    </row>
    <row r="223" customFormat="false" ht="14.25" hidden="false" customHeight="true" outlineLevel="0" collapsed="false">
      <c r="M223" s="214"/>
    </row>
    <row r="224" customFormat="false" ht="14.25" hidden="false" customHeight="true" outlineLevel="0" collapsed="false">
      <c r="M224" s="214"/>
    </row>
    <row r="225" customFormat="false" ht="14.25" hidden="false" customHeight="true" outlineLevel="0" collapsed="false">
      <c r="M225" s="214"/>
    </row>
    <row r="226" customFormat="false" ht="14.25" hidden="false" customHeight="true" outlineLevel="0" collapsed="false">
      <c r="M226" s="214"/>
    </row>
    <row r="227" customFormat="false" ht="14.25" hidden="false" customHeight="true" outlineLevel="0" collapsed="false">
      <c r="M227" s="214"/>
    </row>
    <row r="228" customFormat="false" ht="14.25" hidden="false" customHeight="true" outlineLevel="0" collapsed="false">
      <c r="M228" s="214"/>
    </row>
    <row r="229" customFormat="false" ht="14.25" hidden="false" customHeight="true" outlineLevel="0" collapsed="false">
      <c r="M229" s="214"/>
    </row>
    <row r="230" customFormat="false" ht="14.25" hidden="false" customHeight="true" outlineLevel="0" collapsed="false">
      <c r="M230" s="214"/>
    </row>
    <row r="231" customFormat="false" ht="14.25" hidden="false" customHeight="true" outlineLevel="0" collapsed="false">
      <c r="M231" s="214"/>
    </row>
    <row r="232" customFormat="false" ht="14.25" hidden="false" customHeight="true" outlineLevel="0" collapsed="false">
      <c r="M232" s="214"/>
    </row>
    <row r="233" customFormat="false" ht="14.25" hidden="false" customHeight="true" outlineLevel="0" collapsed="false">
      <c r="M233" s="214"/>
    </row>
    <row r="234" customFormat="false" ht="14.25" hidden="false" customHeight="true" outlineLevel="0" collapsed="false">
      <c r="M234" s="214"/>
    </row>
    <row r="235" customFormat="false" ht="14.25" hidden="false" customHeight="true" outlineLevel="0" collapsed="false">
      <c r="M235" s="214"/>
    </row>
    <row r="236" customFormat="false" ht="14.25" hidden="false" customHeight="true" outlineLevel="0" collapsed="false">
      <c r="M236" s="214"/>
    </row>
    <row r="237" customFormat="false" ht="14.25" hidden="false" customHeight="true" outlineLevel="0" collapsed="false">
      <c r="M237" s="214"/>
    </row>
    <row r="238" customFormat="false" ht="14.25" hidden="false" customHeight="true" outlineLevel="0" collapsed="false">
      <c r="M238" s="214"/>
    </row>
    <row r="239" customFormat="false" ht="14.25" hidden="false" customHeight="true" outlineLevel="0" collapsed="false">
      <c r="M239" s="214"/>
    </row>
    <row r="240" customFormat="false" ht="14.25" hidden="false" customHeight="true" outlineLevel="0" collapsed="false">
      <c r="M240" s="214"/>
    </row>
    <row r="241" customFormat="false" ht="14.25" hidden="false" customHeight="true" outlineLevel="0" collapsed="false">
      <c r="M241" s="214"/>
    </row>
    <row r="242" customFormat="false" ht="14.25" hidden="false" customHeight="true" outlineLevel="0" collapsed="false">
      <c r="M242" s="214"/>
    </row>
    <row r="243" customFormat="false" ht="14.25" hidden="false" customHeight="true" outlineLevel="0" collapsed="false">
      <c r="M243" s="214"/>
    </row>
    <row r="244" customFormat="false" ht="14.25" hidden="false" customHeight="true" outlineLevel="0" collapsed="false">
      <c r="M244" s="214"/>
    </row>
    <row r="245" customFormat="false" ht="14.25" hidden="false" customHeight="true" outlineLevel="0" collapsed="false">
      <c r="M245" s="214"/>
    </row>
    <row r="246" customFormat="false" ht="14.25" hidden="false" customHeight="true" outlineLevel="0" collapsed="false">
      <c r="M246" s="214"/>
    </row>
    <row r="247" customFormat="false" ht="14.25" hidden="false" customHeight="true" outlineLevel="0" collapsed="false">
      <c r="M247" s="214"/>
    </row>
    <row r="248" customFormat="false" ht="14.25" hidden="false" customHeight="true" outlineLevel="0" collapsed="false">
      <c r="M248" s="214"/>
    </row>
    <row r="249" customFormat="false" ht="14.25" hidden="false" customHeight="true" outlineLevel="0" collapsed="false">
      <c r="M249" s="214"/>
    </row>
    <row r="250" customFormat="false" ht="14.25" hidden="false" customHeight="true" outlineLevel="0" collapsed="false">
      <c r="M250" s="214"/>
    </row>
    <row r="251" customFormat="false" ht="14.25" hidden="false" customHeight="true" outlineLevel="0" collapsed="false">
      <c r="M251" s="214"/>
    </row>
    <row r="252" customFormat="false" ht="14.25" hidden="false" customHeight="true" outlineLevel="0" collapsed="false">
      <c r="M252" s="214"/>
    </row>
    <row r="253" customFormat="false" ht="14.25" hidden="false" customHeight="true" outlineLevel="0" collapsed="false">
      <c r="M253" s="214"/>
    </row>
    <row r="254" customFormat="false" ht="14.25" hidden="false" customHeight="true" outlineLevel="0" collapsed="false">
      <c r="M254" s="214"/>
    </row>
    <row r="255" customFormat="false" ht="14.25" hidden="false" customHeight="true" outlineLevel="0" collapsed="false">
      <c r="M255" s="214"/>
    </row>
    <row r="256" customFormat="false" ht="14.25" hidden="false" customHeight="true" outlineLevel="0" collapsed="false">
      <c r="M256" s="214"/>
    </row>
    <row r="257" customFormat="false" ht="14.25" hidden="false" customHeight="true" outlineLevel="0" collapsed="false">
      <c r="M257" s="214"/>
    </row>
    <row r="258" customFormat="false" ht="14.25" hidden="false" customHeight="true" outlineLevel="0" collapsed="false">
      <c r="M258" s="214"/>
    </row>
    <row r="259" customFormat="false" ht="14.25" hidden="false" customHeight="true" outlineLevel="0" collapsed="false">
      <c r="M259" s="214"/>
    </row>
    <row r="260" customFormat="false" ht="14.25" hidden="false" customHeight="true" outlineLevel="0" collapsed="false">
      <c r="M260" s="214"/>
    </row>
    <row r="261" customFormat="false" ht="14.25" hidden="false" customHeight="true" outlineLevel="0" collapsed="false">
      <c r="M261" s="214"/>
    </row>
    <row r="262" customFormat="false" ht="14.25" hidden="false" customHeight="true" outlineLevel="0" collapsed="false">
      <c r="M262" s="214"/>
    </row>
    <row r="263" customFormat="false" ht="14.25" hidden="false" customHeight="true" outlineLevel="0" collapsed="false">
      <c r="M263" s="214"/>
    </row>
    <row r="264" customFormat="false" ht="14.25" hidden="false" customHeight="true" outlineLevel="0" collapsed="false">
      <c r="M264" s="214"/>
    </row>
    <row r="265" customFormat="false" ht="14.25" hidden="false" customHeight="true" outlineLevel="0" collapsed="false">
      <c r="M265" s="214"/>
    </row>
    <row r="266" customFormat="false" ht="14.25" hidden="false" customHeight="true" outlineLevel="0" collapsed="false">
      <c r="M266" s="214"/>
    </row>
    <row r="267" customFormat="false" ht="14.25" hidden="false" customHeight="true" outlineLevel="0" collapsed="false">
      <c r="M267" s="214"/>
    </row>
    <row r="268" customFormat="false" ht="14.25" hidden="false" customHeight="true" outlineLevel="0" collapsed="false">
      <c r="M268" s="214"/>
    </row>
    <row r="269" customFormat="false" ht="14.25" hidden="false" customHeight="true" outlineLevel="0" collapsed="false">
      <c r="M269" s="214"/>
    </row>
    <row r="270" customFormat="false" ht="14.25" hidden="false" customHeight="true" outlineLevel="0" collapsed="false">
      <c r="M270" s="214"/>
    </row>
    <row r="271" customFormat="false" ht="14.25" hidden="false" customHeight="true" outlineLevel="0" collapsed="false">
      <c r="M271" s="214"/>
    </row>
    <row r="272" customFormat="false" ht="14.25" hidden="false" customHeight="true" outlineLevel="0" collapsed="false">
      <c r="M272" s="214"/>
    </row>
    <row r="273" customFormat="false" ht="14.25" hidden="false" customHeight="true" outlineLevel="0" collapsed="false">
      <c r="M273" s="214"/>
    </row>
    <row r="274" customFormat="false" ht="14.25" hidden="false" customHeight="true" outlineLevel="0" collapsed="false">
      <c r="M274" s="214"/>
    </row>
    <row r="275" customFormat="false" ht="14.25" hidden="false" customHeight="true" outlineLevel="0" collapsed="false">
      <c r="M275" s="214"/>
    </row>
    <row r="276" customFormat="false" ht="14.25" hidden="false" customHeight="true" outlineLevel="0" collapsed="false">
      <c r="M276" s="214"/>
    </row>
    <row r="277" customFormat="false" ht="14.25" hidden="false" customHeight="true" outlineLevel="0" collapsed="false">
      <c r="M277" s="214"/>
    </row>
    <row r="278" customFormat="false" ht="14.25" hidden="false" customHeight="true" outlineLevel="0" collapsed="false">
      <c r="M278" s="214"/>
    </row>
    <row r="279" customFormat="false" ht="14.25" hidden="false" customHeight="true" outlineLevel="0" collapsed="false">
      <c r="M279" s="214"/>
    </row>
    <row r="280" customFormat="false" ht="14.25" hidden="false" customHeight="true" outlineLevel="0" collapsed="false">
      <c r="M280" s="214"/>
    </row>
    <row r="281" customFormat="false" ht="14.25" hidden="false" customHeight="true" outlineLevel="0" collapsed="false">
      <c r="M281" s="214"/>
    </row>
    <row r="282" customFormat="false" ht="14.25" hidden="false" customHeight="true" outlineLevel="0" collapsed="false">
      <c r="M282" s="214"/>
    </row>
    <row r="283" customFormat="false" ht="14.25" hidden="false" customHeight="true" outlineLevel="0" collapsed="false">
      <c r="M283" s="214"/>
    </row>
    <row r="284" customFormat="false" ht="14.25" hidden="false" customHeight="true" outlineLevel="0" collapsed="false">
      <c r="M284" s="214"/>
    </row>
    <row r="285" customFormat="false" ht="14.25" hidden="false" customHeight="true" outlineLevel="0" collapsed="false">
      <c r="M285" s="214"/>
    </row>
    <row r="286" customFormat="false" ht="14.25" hidden="false" customHeight="true" outlineLevel="0" collapsed="false">
      <c r="M286" s="214"/>
    </row>
    <row r="287" customFormat="false" ht="14.25" hidden="false" customHeight="true" outlineLevel="0" collapsed="false">
      <c r="M287" s="214"/>
    </row>
    <row r="288" customFormat="false" ht="14.25" hidden="false" customHeight="true" outlineLevel="0" collapsed="false">
      <c r="M288" s="214"/>
    </row>
    <row r="289" customFormat="false" ht="14.25" hidden="false" customHeight="true" outlineLevel="0" collapsed="false">
      <c r="M289" s="214"/>
    </row>
    <row r="290" customFormat="false" ht="14.25" hidden="false" customHeight="true" outlineLevel="0" collapsed="false">
      <c r="M290" s="214"/>
    </row>
    <row r="291" customFormat="false" ht="14.25" hidden="false" customHeight="true" outlineLevel="0" collapsed="false">
      <c r="M291" s="214"/>
    </row>
    <row r="292" customFormat="false" ht="14.25" hidden="false" customHeight="true" outlineLevel="0" collapsed="false">
      <c r="M292" s="214"/>
    </row>
    <row r="293" customFormat="false" ht="14.25" hidden="false" customHeight="true" outlineLevel="0" collapsed="false">
      <c r="M293" s="214"/>
    </row>
    <row r="294" customFormat="false" ht="14.25" hidden="false" customHeight="true" outlineLevel="0" collapsed="false">
      <c r="M294" s="214"/>
    </row>
    <row r="295" customFormat="false" ht="14.25" hidden="false" customHeight="true" outlineLevel="0" collapsed="false">
      <c r="M295" s="214"/>
    </row>
    <row r="296" customFormat="false" ht="14.25" hidden="false" customHeight="true" outlineLevel="0" collapsed="false">
      <c r="M296" s="214"/>
    </row>
    <row r="297" customFormat="false" ht="14.25" hidden="false" customHeight="true" outlineLevel="0" collapsed="false">
      <c r="M297" s="214"/>
    </row>
    <row r="298" customFormat="false" ht="14.25" hidden="false" customHeight="true" outlineLevel="0" collapsed="false">
      <c r="M298" s="214"/>
    </row>
    <row r="299" customFormat="false" ht="14.25" hidden="false" customHeight="true" outlineLevel="0" collapsed="false">
      <c r="M299" s="214"/>
    </row>
    <row r="300" customFormat="false" ht="14.25" hidden="false" customHeight="true" outlineLevel="0" collapsed="false">
      <c r="M300" s="214"/>
    </row>
    <row r="301" customFormat="false" ht="14.25" hidden="false" customHeight="true" outlineLevel="0" collapsed="false">
      <c r="M301" s="214"/>
    </row>
    <row r="302" customFormat="false" ht="14.25" hidden="false" customHeight="true" outlineLevel="0" collapsed="false">
      <c r="M302" s="214"/>
    </row>
    <row r="303" customFormat="false" ht="14.25" hidden="false" customHeight="true" outlineLevel="0" collapsed="false">
      <c r="M303" s="214"/>
    </row>
    <row r="304" customFormat="false" ht="14.25" hidden="false" customHeight="true" outlineLevel="0" collapsed="false">
      <c r="M304" s="214"/>
    </row>
    <row r="305" customFormat="false" ht="14.25" hidden="false" customHeight="true" outlineLevel="0" collapsed="false">
      <c r="M305" s="214"/>
    </row>
    <row r="306" customFormat="false" ht="14.25" hidden="false" customHeight="true" outlineLevel="0" collapsed="false">
      <c r="M306" s="214"/>
    </row>
    <row r="307" customFormat="false" ht="14.25" hidden="false" customHeight="true" outlineLevel="0" collapsed="false">
      <c r="M307" s="214"/>
    </row>
    <row r="308" customFormat="false" ht="14.25" hidden="false" customHeight="true" outlineLevel="0" collapsed="false">
      <c r="M308" s="214"/>
    </row>
    <row r="309" customFormat="false" ht="14.25" hidden="false" customHeight="true" outlineLevel="0" collapsed="false">
      <c r="M309" s="214"/>
    </row>
    <row r="310" customFormat="false" ht="14.25" hidden="false" customHeight="true" outlineLevel="0" collapsed="false">
      <c r="M310" s="214"/>
    </row>
    <row r="311" customFormat="false" ht="14.25" hidden="false" customHeight="true" outlineLevel="0" collapsed="false">
      <c r="M311" s="214"/>
    </row>
    <row r="312" customFormat="false" ht="14.25" hidden="false" customHeight="true" outlineLevel="0" collapsed="false">
      <c r="M312" s="214"/>
    </row>
    <row r="313" customFormat="false" ht="14.25" hidden="false" customHeight="true" outlineLevel="0" collapsed="false">
      <c r="M313" s="214"/>
    </row>
    <row r="314" customFormat="false" ht="14.25" hidden="false" customHeight="true" outlineLevel="0" collapsed="false">
      <c r="M314" s="214"/>
    </row>
    <row r="315" customFormat="false" ht="14.25" hidden="false" customHeight="true" outlineLevel="0" collapsed="false">
      <c r="M315" s="214"/>
    </row>
    <row r="316" customFormat="false" ht="14.25" hidden="false" customHeight="true" outlineLevel="0" collapsed="false">
      <c r="M316" s="214"/>
    </row>
    <row r="317" customFormat="false" ht="14.25" hidden="false" customHeight="true" outlineLevel="0" collapsed="false">
      <c r="M317" s="214"/>
    </row>
    <row r="318" customFormat="false" ht="14.25" hidden="false" customHeight="true" outlineLevel="0" collapsed="false">
      <c r="M318" s="214"/>
    </row>
    <row r="319" customFormat="false" ht="14.25" hidden="false" customHeight="true" outlineLevel="0" collapsed="false">
      <c r="M319" s="214"/>
    </row>
    <row r="320" customFormat="false" ht="14.25" hidden="false" customHeight="true" outlineLevel="0" collapsed="false">
      <c r="M320" s="214"/>
    </row>
    <row r="321" customFormat="false" ht="14.25" hidden="false" customHeight="true" outlineLevel="0" collapsed="false">
      <c r="M321" s="214"/>
    </row>
    <row r="322" customFormat="false" ht="14.25" hidden="false" customHeight="true" outlineLevel="0" collapsed="false">
      <c r="M322" s="214"/>
    </row>
    <row r="323" customFormat="false" ht="14.25" hidden="false" customHeight="true" outlineLevel="0" collapsed="false">
      <c r="M323" s="214"/>
    </row>
    <row r="324" customFormat="false" ht="14.25" hidden="false" customHeight="true" outlineLevel="0" collapsed="false">
      <c r="M324" s="214"/>
    </row>
    <row r="325" customFormat="false" ht="14.25" hidden="false" customHeight="true" outlineLevel="0" collapsed="false">
      <c r="M325" s="214"/>
    </row>
    <row r="326" customFormat="false" ht="14.25" hidden="false" customHeight="true" outlineLevel="0" collapsed="false">
      <c r="M326" s="214"/>
    </row>
    <row r="327" customFormat="false" ht="14.25" hidden="false" customHeight="true" outlineLevel="0" collapsed="false">
      <c r="M327" s="214"/>
    </row>
    <row r="328" customFormat="false" ht="14.25" hidden="false" customHeight="true" outlineLevel="0" collapsed="false">
      <c r="M328" s="214"/>
    </row>
    <row r="329" customFormat="false" ht="14.25" hidden="false" customHeight="true" outlineLevel="0" collapsed="false">
      <c r="M329" s="214"/>
    </row>
    <row r="330" customFormat="false" ht="14.25" hidden="false" customHeight="true" outlineLevel="0" collapsed="false">
      <c r="M330" s="214"/>
    </row>
    <row r="331" customFormat="false" ht="14.25" hidden="false" customHeight="true" outlineLevel="0" collapsed="false">
      <c r="M331" s="214"/>
    </row>
    <row r="332" customFormat="false" ht="14.25" hidden="false" customHeight="true" outlineLevel="0" collapsed="false">
      <c r="M332" s="214"/>
    </row>
    <row r="333" customFormat="false" ht="14.25" hidden="false" customHeight="true" outlineLevel="0" collapsed="false">
      <c r="M333" s="214"/>
    </row>
    <row r="334" customFormat="false" ht="14.25" hidden="false" customHeight="true" outlineLevel="0" collapsed="false">
      <c r="M334" s="214"/>
    </row>
    <row r="335" customFormat="false" ht="14.25" hidden="false" customHeight="true" outlineLevel="0" collapsed="false">
      <c r="M335" s="214"/>
    </row>
    <row r="336" customFormat="false" ht="14.25" hidden="false" customHeight="true" outlineLevel="0" collapsed="false">
      <c r="M336" s="214"/>
    </row>
    <row r="337" customFormat="false" ht="14.25" hidden="false" customHeight="true" outlineLevel="0" collapsed="false">
      <c r="M337" s="214"/>
    </row>
    <row r="338" customFormat="false" ht="14.25" hidden="false" customHeight="true" outlineLevel="0" collapsed="false">
      <c r="M338" s="214"/>
    </row>
    <row r="339" customFormat="false" ht="14.25" hidden="false" customHeight="true" outlineLevel="0" collapsed="false">
      <c r="M339" s="214"/>
    </row>
    <row r="340" customFormat="false" ht="14.25" hidden="false" customHeight="true" outlineLevel="0" collapsed="false">
      <c r="M340" s="214"/>
    </row>
    <row r="341" customFormat="false" ht="14.25" hidden="false" customHeight="true" outlineLevel="0" collapsed="false">
      <c r="M341" s="214"/>
    </row>
    <row r="342" customFormat="false" ht="14.25" hidden="false" customHeight="true" outlineLevel="0" collapsed="false">
      <c r="M342" s="214"/>
    </row>
    <row r="343" customFormat="false" ht="14.25" hidden="false" customHeight="true" outlineLevel="0" collapsed="false">
      <c r="M343" s="214"/>
    </row>
    <row r="344" customFormat="false" ht="14.25" hidden="false" customHeight="true" outlineLevel="0" collapsed="false">
      <c r="M344" s="214"/>
    </row>
    <row r="345" customFormat="false" ht="14.25" hidden="false" customHeight="true" outlineLevel="0" collapsed="false">
      <c r="M345" s="214"/>
    </row>
    <row r="346" customFormat="false" ht="14.25" hidden="false" customHeight="true" outlineLevel="0" collapsed="false">
      <c r="M346" s="214"/>
    </row>
    <row r="347" customFormat="false" ht="14.25" hidden="false" customHeight="true" outlineLevel="0" collapsed="false">
      <c r="M347" s="214"/>
    </row>
    <row r="348" customFormat="false" ht="14.25" hidden="false" customHeight="true" outlineLevel="0" collapsed="false">
      <c r="M348" s="214"/>
    </row>
    <row r="349" customFormat="false" ht="14.25" hidden="false" customHeight="true" outlineLevel="0" collapsed="false">
      <c r="M349" s="214"/>
    </row>
    <row r="350" customFormat="false" ht="14.25" hidden="false" customHeight="true" outlineLevel="0" collapsed="false">
      <c r="M350" s="214"/>
    </row>
    <row r="351" customFormat="false" ht="14.25" hidden="false" customHeight="true" outlineLevel="0" collapsed="false">
      <c r="M351" s="214"/>
    </row>
    <row r="352" customFormat="false" ht="14.25" hidden="false" customHeight="true" outlineLevel="0" collapsed="false">
      <c r="M352" s="214"/>
    </row>
    <row r="353" customFormat="false" ht="14.25" hidden="false" customHeight="true" outlineLevel="0" collapsed="false">
      <c r="M353" s="214"/>
    </row>
    <row r="354" customFormat="false" ht="14.25" hidden="false" customHeight="true" outlineLevel="0" collapsed="false">
      <c r="M354" s="214"/>
    </row>
    <row r="355" customFormat="false" ht="14.25" hidden="false" customHeight="true" outlineLevel="0" collapsed="false">
      <c r="M355" s="214"/>
    </row>
    <row r="356" customFormat="false" ht="14.25" hidden="false" customHeight="true" outlineLevel="0" collapsed="false">
      <c r="M356" s="214"/>
    </row>
    <row r="357" customFormat="false" ht="14.25" hidden="false" customHeight="true" outlineLevel="0" collapsed="false">
      <c r="M357" s="214"/>
    </row>
    <row r="358" customFormat="false" ht="14.25" hidden="false" customHeight="true" outlineLevel="0" collapsed="false">
      <c r="M358" s="214"/>
    </row>
    <row r="359" customFormat="false" ht="14.25" hidden="false" customHeight="true" outlineLevel="0" collapsed="false">
      <c r="M359" s="214"/>
    </row>
    <row r="360" customFormat="false" ht="14.25" hidden="false" customHeight="true" outlineLevel="0" collapsed="false">
      <c r="M360" s="214"/>
    </row>
    <row r="361" customFormat="false" ht="14.25" hidden="false" customHeight="true" outlineLevel="0" collapsed="false">
      <c r="M361" s="214"/>
    </row>
    <row r="362" customFormat="false" ht="14.25" hidden="false" customHeight="true" outlineLevel="0" collapsed="false">
      <c r="M362" s="214"/>
    </row>
    <row r="363" customFormat="false" ht="14.25" hidden="false" customHeight="true" outlineLevel="0" collapsed="false">
      <c r="M363" s="214"/>
    </row>
    <row r="364" customFormat="false" ht="14.25" hidden="false" customHeight="true" outlineLevel="0" collapsed="false">
      <c r="M364" s="214"/>
    </row>
    <row r="365" customFormat="false" ht="14.25" hidden="false" customHeight="true" outlineLevel="0" collapsed="false">
      <c r="M365" s="214"/>
    </row>
    <row r="366" customFormat="false" ht="14.25" hidden="false" customHeight="true" outlineLevel="0" collapsed="false">
      <c r="M366" s="214"/>
    </row>
    <row r="367" customFormat="false" ht="14.25" hidden="false" customHeight="true" outlineLevel="0" collapsed="false">
      <c r="M367" s="214"/>
    </row>
    <row r="368" customFormat="false" ht="14.25" hidden="false" customHeight="true" outlineLevel="0" collapsed="false">
      <c r="M368" s="214"/>
    </row>
    <row r="369" customFormat="false" ht="14.25" hidden="false" customHeight="true" outlineLevel="0" collapsed="false">
      <c r="M369" s="214"/>
    </row>
    <row r="370" customFormat="false" ht="14.25" hidden="false" customHeight="true" outlineLevel="0" collapsed="false">
      <c r="M370" s="214"/>
    </row>
    <row r="371" customFormat="false" ht="14.25" hidden="false" customHeight="true" outlineLevel="0" collapsed="false">
      <c r="M371" s="214"/>
    </row>
    <row r="372" customFormat="false" ht="14.25" hidden="false" customHeight="true" outlineLevel="0" collapsed="false">
      <c r="M372" s="214"/>
    </row>
    <row r="373" customFormat="false" ht="14.25" hidden="false" customHeight="true" outlineLevel="0" collapsed="false">
      <c r="M373" s="214"/>
    </row>
    <row r="374" customFormat="false" ht="14.25" hidden="false" customHeight="true" outlineLevel="0" collapsed="false">
      <c r="M374" s="214"/>
    </row>
    <row r="375" customFormat="false" ht="14.25" hidden="false" customHeight="true" outlineLevel="0" collapsed="false">
      <c r="M375" s="214"/>
    </row>
    <row r="376" customFormat="false" ht="14.25" hidden="false" customHeight="true" outlineLevel="0" collapsed="false">
      <c r="M376" s="214"/>
    </row>
    <row r="377" customFormat="false" ht="14.25" hidden="false" customHeight="true" outlineLevel="0" collapsed="false">
      <c r="M377" s="214"/>
    </row>
    <row r="378" customFormat="false" ht="14.25" hidden="false" customHeight="true" outlineLevel="0" collapsed="false">
      <c r="M378" s="214"/>
    </row>
    <row r="379" customFormat="false" ht="14.25" hidden="false" customHeight="true" outlineLevel="0" collapsed="false">
      <c r="M379" s="214"/>
    </row>
    <row r="380" customFormat="false" ht="14.25" hidden="false" customHeight="true" outlineLevel="0" collapsed="false">
      <c r="M380" s="214"/>
    </row>
    <row r="381" customFormat="false" ht="14.25" hidden="false" customHeight="true" outlineLevel="0" collapsed="false">
      <c r="M381" s="214"/>
    </row>
    <row r="382" customFormat="false" ht="14.25" hidden="false" customHeight="true" outlineLevel="0" collapsed="false">
      <c r="M382" s="214"/>
    </row>
    <row r="383" customFormat="false" ht="14.25" hidden="false" customHeight="true" outlineLevel="0" collapsed="false">
      <c r="M383" s="214"/>
    </row>
    <row r="384" customFormat="false" ht="14.25" hidden="false" customHeight="true" outlineLevel="0" collapsed="false">
      <c r="M384" s="214"/>
    </row>
    <row r="385" customFormat="false" ht="14.25" hidden="false" customHeight="true" outlineLevel="0" collapsed="false">
      <c r="M385" s="214"/>
    </row>
    <row r="386" customFormat="false" ht="14.25" hidden="false" customHeight="true" outlineLevel="0" collapsed="false">
      <c r="M386" s="214"/>
    </row>
    <row r="387" customFormat="false" ht="14.25" hidden="false" customHeight="true" outlineLevel="0" collapsed="false">
      <c r="M387" s="214"/>
    </row>
    <row r="388" customFormat="false" ht="14.25" hidden="false" customHeight="true" outlineLevel="0" collapsed="false">
      <c r="M388" s="214"/>
    </row>
    <row r="389" customFormat="false" ht="14.25" hidden="false" customHeight="true" outlineLevel="0" collapsed="false">
      <c r="M389" s="214"/>
    </row>
    <row r="390" customFormat="false" ht="14.25" hidden="false" customHeight="true" outlineLevel="0" collapsed="false">
      <c r="M390" s="214"/>
    </row>
    <row r="391" customFormat="false" ht="14.25" hidden="false" customHeight="true" outlineLevel="0" collapsed="false">
      <c r="M391" s="214"/>
    </row>
    <row r="392" customFormat="false" ht="14.25" hidden="false" customHeight="true" outlineLevel="0" collapsed="false">
      <c r="M392" s="214"/>
    </row>
    <row r="393" customFormat="false" ht="14.25" hidden="false" customHeight="true" outlineLevel="0" collapsed="false">
      <c r="M393" s="214"/>
    </row>
    <row r="394" customFormat="false" ht="14.25" hidden="false" customHeight="true" outlineLevel="0" collapsed="false">
      <c r="M394" s="214"/>
    </row>
    <row r="395" customFormat="false" ht="14.25" hidden="false" customHeight="true" outlineLevel="0" collapsed="false">
      <c r="M395" s="214"/>
    </row>
    <row r="396" customFormat="false" ht="14.25" hidden="false" customHeight="true" outlineLevel="0" collapsed="false">
      <c r="M396" s="214"/>
    </row>
    <row r="397" customFormat="false" ht="14.25" hidden="false" customHeight="true" outlineLevel="0" collapsed="false">
      <c r="M397" s="214"/>
    </row>
    <row r="398" customFormat="false" ht="14.25" hidden="false" customHeight="true" outlineLevel="0" collapsed="false">
      <c r="M398" s="214"/>
    </row>
    <row r="399" customFormat="false" ht="14.25" hidden="false" customHeight="true" outlineLevel="0" collapsed="false">
      <c r="M399" s="214"/>
    </row>
    <row r="400" customFormat="false" ht="14.25" hidden="false" customHeight="true" outlineLevel="0" collapsed="false">
      <c r="M400" s="214"/>
    </row>
    <row r="401" customFormat="false" ht="14.25" hidden="false" customHeight="true" outlineLevel="0" collapsed="false">
      <c r="M401" s="214"/>
    </row>
    <row r="402" customFormat="false" ht="14.25" hidden="false" customHeight="true" outlineLevel="0" collapsed="false">
      <c r="M402" s="214"/>
    </row>
    <row r="403" customFormat="false" ht="14.25" hidden="false" customHeight="true" outlineLevel="0" collapsed="false">
      <c r="M403" s="214"/>
    </row>
    <row r="404" customFormat="false" ht="14.25" hidden="false" customHeight="true" outlineLevel="0" collapsed="false">
      <c r="M404" s="214"/>
    </row>
    <row r="405" customFormat="false" ht="14.25" hidden="false" customHeight="true" outlineLevel="0" collapsed="false">
      <c r="M405" s="214"/>
    </row>
    <row r="406" customFormat="false" ht="14.25" hidden="false" customHeight="true" outlineLevel="0" collapsed="false">
      <c r="M406" s="214"/>
    </row>
    <row r="407" customFormat="false" ht="14.25" hidden="false" customHeight="true" outlineLevel="0" collapsed="false">
      <c r="M407" s="214"/>
    </row>
    <row r="408" customFormat="false" ht="14.25" hidden="false" customHeight="true" outlineLevel="0" collapsed="false">
      <c r="M408" s="214"/>
    </row>
    <row r="409" customFormat="false" ht="14.25" hidden="false" customHeight="true" outlineLevel="0" collapsed="false">
      <c r="M409" s="214"/>
    </row>
    <row r="410" customFormat="false" ht="14.25" hidden="false" customHeight="true" outlineLevel="0" collapsed="false">
      <c r="M410" s="214"/>
    </row>
    <row r="411" customFormat="false" ht="14.25" hidden="false" customHeight="true" outlineLevel="0" collapsed="false">
      <c r="M411" s="214"/>
    </row>
    <row r="412" customFormat="false" ht="14.25" hidden="false" customHeight="true" outlineLevel="0" collapsed="false">
      <c r="M412" s="214"/>
    </row>
    <row r="413" customFormat="false" ht="14.25" hidden="false" customHeight="true" outlineLevel="0" collapsed="false">
      <c r="M413" s="214"/>
    </row>
    <row r="414" customFormat="false" ht="14.25" hidden="false" customHeight="true" outlineLevel="0" collapsed="false">
      <c r="M414" s="214"/>
    </row>
    <row r="415" customFormat="false" ht="14.25" hidden="false" customHeight="true" outlineLevel="0" collapsed="false">
      <c r="M415" s="214"/>
    </row>
    <row r="416" customFormat="false" ht="14.25" hidden="false" customHeight="true" outlineLevel="0" collapsed="false">
      <c r="M416" s="214"/>
    </row>
    <row r="417" customFormat="false" ht="14.25" hidden="false" customHeight="true" outlineLevel="0" collapsed="false">
      <c r="M417" s="214"/>
    </row>
    <row r="418" customFormat="false" ht="14.25" hidden="false" customHeight="true" outlineLevel="0" collapsed="false">
      <c r="M418" s="214"/>
    </row>
    <row r="419" customFormat="false" ht="14.25" hidden="false" customHeight="true" outlineLevel="0" collapsed="false">
      <c r="M419" s="214"/>
    </row>
    <row r="420" customFormat="false" ht="14.25" hidden="false" customHeight="true" outlineLevel="0" collapsed="false">
      <c r="M420" s="214"/>
    </row>
    <row r="421" customFormat="false" ht="14.25" hidden="false" customHeight="true" outlineLevel="0" collapsed="false">
      <c r="M421" s="214"/>
    </row>
    <row r="422" customFormat="false" ht="14.25" hidden="false" customHeight="true" outlineLevel="0" collapsed="false">
      <c r="M422" s="214"/>
    </row>
    <row r="423" customFormat="false" ht="14.25" hidden="false" customHeight="true" outlineLevel="0" collapsed="false">
      <c r="M423" s="214"/>
    </row>
    <row r="424" customFormat="false" ht="14.25" hidden="false" customHeight="true" outlineLevel="0" collapsed="false">
      <c r="M424" s="214"/>
    </row>
    <row r="425" customFormat="false" ht="14.25" hidden="false" customHeight="true" outlineLevel="0" collapsed="false">
      <c r="M425" s="214"/>
    </row>
    <row r="426" customFormat="false" ht="14.25" hidden="false" customHeight="true" outlineLevel="0" collapsed="false">
      <c r="M426" s="214"/>
    </row>
    <row r="427" customFormat="false" ht="14.25" hidden="false" customHeight="true" outlineLevel="0" collapsed="false">
      <c r="M427" s="214"/>
    </row>
    <row r="428" customFormat="false" ht="14.25" hidden="false" customHeight="true" outlineLevel="0" collapsed="false">
      <c r="M428" s="214"/>
    </row>
    <row r="429" customFormat="false" ht="14.25" hidden="false" customHeight="true" outlineLevel="0" collapsed="false">
      <c r="M429" s="214"/>
    </row>
    <row r="430" customFormat="false" ht="14.25" hidden="false" customHeight="true" outlineLevel="0" collapsed="false">
      <c r="M430" s="214"/>
    </row>
    <row r="431" customFormat="false" ht="14.25" hidden="false" customHeight="true" outlineLevel="0" collapsed="false">
      <c r="M431" s="214"/>
    </row>
    <row r="432" customFormat="false" ht="14.25" hidden="false" customHeight="true" outlineLevel="0" collapsed="false">
      <c r="M432" s="214"/>
    </row>
    <row r="433" customFormat="false" ht="14.25" hidden="false" customHeight="true" outlineLevel="0" collapsed="false">
      <c r="M433" s="214"/>
    </row>
    <row r="434" customFormat="false" ht="14.25" hidden="false" customHeight="true" outlineLevel="0" collapsed="false">
      <c r="M434" s="214"/>
    </row>
    <row r="435" customFormat="false" ht="14.25" hidden="false" customHeight="true" outlineLevel="0" collapsed="false">
      <c r="M435" s="214"/>
    </row>
    <row r="436" customFormat="false" ht="14.25" hidden="false" customHeight="true" outlineLevel="0" collapsed="false">
      <c r="M436" s="214"/>
    </row>
    <row r="437" customFormat="false" ht="14.25" hidden="false" customHeight="true" outlineLevel="0" collapsed="false">
      <c r="M437" s="214"/>
    </row>
    <row r="438" customFormat="false" ht="14.25" hidden="false" customHeight="true" outlineLevel="0" collapsed="false">
      <c r="M438" s="214"/>
    </row>
    <row r="439" customFormat="false" ht="14.25" hidden="false" customHeight="true" outlineLevel="0" collapsed="false">
      <c r="M439" s="214"/>
    </row>
    <row r="440" customFormat="false" ht="14.25" hidden="false" customHeight="true" outlineLevel="0" collapsed="false">
      <c r="M440" s="214"/>
    </row>
    <row r="441" customFormat="false" ht="14.25" hidden="false" customHeight="true" outlineLevel="0" collapsed="false">
      <c r="M441" s="214"/>
    </row>
    <row r="442" customFormat="false" ht="14.25" hidden="false" customHeight="true" outlineLevel="0" collapsed="false">
      <c r="M442" s="214"/>
    </row>
    <row r="443" customFormat="false" ht="14.25" hidden="false" customHeight="true" outlineLevel="0" collapsed="false">
      <c r="M443" s="214"/>
    </row>
    <row r="444" customFormat="false" ht="14.25" hidden="false" customHeight="true" outlineLevel="0" collapsed="false">
      <c r="M444" s="214"/>
    </row>
    <row r="445" customFormat="false" ht="14.25" hidden="false" customHeight="true" outlineLevel="0" collapsed="false">
      <c r="M445" s="214"/>
    </row>
    <row r="446" customFormat="false" ht="14.25" hidden="false" customHeight="true" outlineLevel="0" collapsed="false">
      <c r="M446" s="214"/>
    </row>
    <row r="447" customFormat="false" ht="14.25" hidden="false" customHeight="true" outlineLevel="0" collapsed="false">
      <c r="M447" s="214"/>
    </row>
    <row r="448" customFormat="false" ht="14.25" hidden="false" customHeight="true" outlineLevel="0" collapsed="false">
      <c r="M448" s="214"/>
    </row>
    <row r="449" customFormat="false" ht="14.25" hidden="false" customHeight="true" outlineLevel="0" collapsed="false">
      <c r="M449" s="214"/>
    </row>
    <row r="450" customFormat="false" ht="14.25" hidden="false" customHeight="true" outlineLevel="0" collapsed="false">
      <c r="M450" s="214"/>
    </row>
    <row r="451" customFormat="false" ht="14.25" hidden="false" customHeight="true" outlineLevel="0" collapsed="false">
      <c r="M451" s="214"/>
    </row>
    <row r="452" customFormat="false" ht="14.25" hidden="false" customHeight="true" outlineLevel="0" collapsed="false">
      <c r="M452" s="214"/>
    </row>
    <row r="453" customFormat="false" ht="14.25" hidden="false" customHeight="true" outlineLevel="0" collapsed="false">
      <c r="M453" s="214"/>
    </row>
    <row r="454" customFormat="false" ht="14.25" hidden="false" customHeight="true" outlineLevel="0" collapsed="false">
      <c r="M454" s="214"/>
    </row>
    <row r="455" customFormat="false" ht="14.25" hidden="false" customHeight="true" outlineLevel="0" collapsed="false">
      <c r="M455" s="214"/>
    </row>
    <row r="456" customFormat="false" ht="14.25" hidden="false" customHeight="true" outlineLevel="0" collapsed="false">
      <c r="M456" s="214"/>
    </row>
    <row r="457" customFormat="false" ht="14.25" hidden="false" customHeight="true" outlineLevel="0" collapsed="false">
      <c r="M457" s="214"/>
    </row>
    <row r="458" customFormat="false" ht="14.25" hidden="false" customHeight="true" outlineLevel="0" collapsed="false">
      <c r="M458" s="214"/>
    </row>
    <row r="459" customFormat="false" ht="14.25" hidden="false" customHeight="true" outlineLevel="0" collapsed="false">
      <c r="M459" s="214"/>
    </row>
    <row r="460" customFormat="false" ht="14.25" hidden="false" customHeight="true" outlineLevel="0" collapsed="false">
      <c r="M460" s="214"/>
    </row>
    <row r="461" customFormat="false" ht="14.25" hidden="false" customHeight="true" outlineLevel="0" collapsed="false">
      <c r="M461" s="214"/>
    </row>
    <row r="462" customFormat="false" ht="14.25" hidden="false" customHeight="true" outlineLevel="0" collapsed="false">
      <c r="M462" s="214"/>
    </row>
    <row r="463" customFormat="false" ht="14.25" hidden="false" customHeight="true" outlineLevel="0" collapsed="false">
      <c r="M463" s="214"/>
    </row>
    <row r="464" customFormat="false" ht="14.25" hidden="false" customHeight="true" outlineLevel="0" collapsed="false">
      <c r="M464" s="214"/>
    </row>
    <row r="465" customFormat="false" ht="14.25" hidden="false" customHeight="true" outlineLevel="0" collapsed="false">
      <c r="M465" s="214"/>
    </row>
    <row r="466" customFormat="false" ht="14.25" hidden="false" customHeight="true" outlineLevel="0" collapsed="false">
      <c r="M466" s="214"/>
    </row>
    <row r="467" customFormat="false" ht="14.25" hidden="false" customHeight="true" outlineLevel="0" collapsed="false">
      <c r="M467" s="214"/>
    </row>
    <row r="468" customFormat="false" ht="14.25" hidden="false" customHeight="true" outlineLevel="0" collapsed="false">
      <c r="M468" s="214"/>
    </row>
    <row r="469" customFormat="false" ht="14.25" hidden="false" customHeight="true" outlineLevel="0" collapsed="false">
      <c r="M469" s="214"/>
    </row>
    <row r="470" customFormat="false" ht="14.25" hidden="false" customHeight="true" outlineLevel="0" collapsed="false">
      <c r="M470" s="214"/>
    </row>
    <row r="471" customFormat="false" ht="14.25" hidden="false" customHeight="true" outlineLevel="0" collapsed="false">
      <c r="M471" s="214"/>
    </row>
    <row r="472" customFormat="false" ht="14.25" hidden="false" customHeight="true" outlineLevel="0" collapsed="false">
      <c r="M472" s="214"/>
    </row>
    <row r="473" customFormat="false" ht="14.25" hidden="false" customHeight="true" outlineLevel="0" collapsed="false">
      <c r="M473" s="214"/>
    </row>
    <row r="474" customFormat="false" ht="14.25" hidden="false" customHeight="true" outlineLevel="0" collapsed="false">
      <c r="M474" s="214"/>
    </row>
    <row r="475" customFormat="false" ht="14.25" hidden="false" customHeight="true" outlineLevel="0" collapsed="false">
      <c r="M475" s="214"/>
    </row>
    <row r="476" customFormat="false" ht="14.25" hidden="false" customHeight="true" outlineLevel="0" collapsed="false">
      <c r="M476" s="214"/>
    </row>
    <row r="477" customFormat="false" ht="14.25" hidden="false" customHeight="true" outlineLevel="0" collapsed="false">
      <c r="M477" s="214"/>
    </row>
    <row r="478" customFormat="false" ht="14.25" hidden="false" customHeight="true" outlineLevel="0" collapsed="false">
      <c r="M478" s="214"/>
    </row>
    <row r="479" customFormat="false" ht="14.25" hidden="false" customHeight="true" outlineLevel="0" collapsed="false">
      <c r="M479" s="214"/>
    </row>
    <row r="480" customFormat="false" ht="14.25" hidden="false" customHeight="true" outlineLevel="0" collapsed="false">
      <c r="M480" s="214"/>
    </row>
    <row r="481" customFormat="false" ht="14.25" hidden="false" customHeight="true" outlineLevel="0" collapsed="false">
      <c r="M481" s="214"/>
    </row>
    <row r="482" customFormat="false" ht="14.25" hidden="false" customHeight="true" outlineLevel="0" collapsed="false">
      <c r="M482" s="214"/>
    </row>
    <row r="483" customFormat="false" ht="14.25" hidden="false" customHeight="true" outlineLevel="0" collapsed="false">
      <c r="M483" s="214"/>
    </row>
    <row r="484" customFormat="false" ht="14.25" hidden="false" customHeight="true" outlineLevel="0" collapsed="false">
      <c r="M484" s="214"/>
    </row>
    <row r="485" customFormat="false" ht="14.25" hidden="false" customHeight="true" outlineLevel="0" collapsed="false">
      <c r="M485" s="214"/>
    </row>
    <row r="486" customFormat="false" ht="14.25" hidden="false" customHeight="true" outlineLevel="0" collapsed="false">
      <c r="M486" s="214"/>
    </row>
    <row r="487" customFormat="false" ht="14.25" hidden="false" customHeight="true" outlineLevel="0" collapsed="false">
      <c r="M487" s="214"/>
    </row>
    <row r="488" customFormat="false" ht="14.25" hidden="false" customHeight="true" outlineLevel="0" collapsed="false">
      <c r="M488" s="214"/>
    </row>
    <row r="489" customFormat="false" ht="14.25" hidden="false" customHeight="true" outlineLevel="0" collapsed="false">
      <c r="M489" s="214"/>
    </row>
    <row r="490" customFormat="false" ht="14.25" hidden="false" customHeight="true" outlineLevel="0" collapsed="false">
      <c r="M490" s="214"/>
    </row>
    <row r="491" customFormat="false" ht="14.25" hidden="false" customHeight="true" outlineLevel="0" collapsed="false">
      <c r="M491" s="214"/>
    </row>
    <row r="492" customFormat="false" ht="14.25" hidden="false" customHeight="true" outlineLevel="0" collapsed="false">
      <c r="M492" s="214"/>
    </row>
    <row r="493" customFormat="false" ht="14.25" hidden="false" customHeight="true" outlineLevel="0" collapsed="false">
      <c r="M493" s="214"/>
    </row>
    <row r="494" customFormat="false" ht="14.25" hidden="false" customHeight="true" outlineLevel="0" collapsed="false">
      <c r="M494" s="214"/>
    </row>
    <row r="495" customFormat="false" ht="14.25" hidden="false" customHeight="true" outlineLevel="0" collapsed="false">
      <c r="M495" s="214"/>
    </row>
    <row r="496" customFormat="false" ht="14.25" hidden="false" customHeight="true" outlineLevel="0" collapsed="false">
      <c r="M496" s="214"/>
    </row>
    <row r="497" customFormat="false" ht="14.25" hidden="false" customHeight="true" outlineLevel="0" collapsed="false">
      <c r="M497" s="214"/>
    </row>
    <row r="498" customFormat="false" ht="14.25" hidden="false" customHeight="true" outlineLevel="0" collapsed="false">
      <c r="M498" s="214"/>
    </row>
    <row r="499" customFormat="false" ht="14.25" hidden="false" customHeight="true" outlineLevel="0" collapsed="false">
      <c r="M499" s="214"/>
    </row>
    <row r="500" customFormat="false" ht="14.25" hidden="false" customHeight="true" outlineLevel="0" collapsed="false">
      <c r="M500" s="214"/>
    </row>
    <row r="501" customFormat="false" ht="14.25" hidden="false" customHeight="true" outlineLevel="0" collapsed="false">
      <c r="M501" s="214"/>
    </row>
    <row r="502" customFormat="false" ht="14.25" hidden="false" customHeight="true" outlineLevel="0" collapsed="false">
      <c r="M502" s="214"/>
    </row>
    <row r="503" customFormat="false" ht="14.25" hidden="false" customHeight="true" outlineLevel="0" collapsed="false">
      <c r="M503" s="214"/>
    </row>
    <row r="504" customFormat="false" ht="14.25" hidden="false" customHeight="true" outlineLevel="0" collapsed="false">
      <c r="M504" s="214"/>
    </row>
    <row r="505" customFormat="false" ht="14.25" hidden="false" customHeight="true" outlineLevel="0" collapsed="false">
      <c r="M505" s="214"/>
    </row>
    <row r="506" customFormat="false" ht="14.25" hidden="false" customHeight="true" outlineLevel="0" collapsed="false">
      <c r="M506" s="214"/>
    </row>
    <row r="507" customFormat="false" ht="14.25" hidden="false" customHeight="true" outlineLevel="0" collapsed="false">
      <c r="M507" s="214"/>
    </row>
    <row r="508" customFormat="false" ht="14.25" hidden="false" customHeight="true" outlineLevel="0" collapsed="false">
      <c r="M508" s="214"/>
    </row>
    <row r="509" customFormat="false" ht="14.25" hidden="false" customHeight="true" outlineLevel="0" collapsed="false">
      <c r="M509" s="214"/>
    </row>
    <row r="510" customFormat="false" ht="14.25" hidden="false" customHeight="true" outlineLevel="0" collapsed="false">
      <c r="M510" s="214"/>
    </row>
    <row r="511" customFormat="false" ht="14.25" hidden="false" customHeight="true" outlineLevel="0" collapsed="false">
      <c r="M511" s="214"/>
    </row>
    <row r="512" customFormat="false" ht="14.25" hidden="false" customHeight="true" outlineLevel="0" collapsed="false">
      <c r="M512" s="214"/>
    </row>
    <row r="513" customFormat="false" ht="14.25" hidden="false" customHeight="true" outlineLevel="0" collapsed="false">
      <c r="M513" s="214"/>
    </row>
    <row r="514" customFormat="false" ht="14.25" hidden="false" customHeight="true" outlineLevel="0" collapsed="false">
      <c r="M514" s="214"/>
    </row>
    <row r="515" customFormat="false" ht="14.25" hidden="false" customHeight="true" outlineLevel="0" collapsed="false">
      <c r="M515" s="214"/>
    </row>
    <row r="516" customFormat="false" ht="14.25" hidden="false" customHeight="true" outlineLevel="0" collapsed="false">
      <c r="M516" s="214"/>
    </row>
    <row r="517" customFormat="false" ht="14.25" hidden="false" customHeight="true" outlineLevel="0" collapsed="false">
      <c r="M517" s="214"/>
    </row>
    <row r="518" customFormat="false" ht="14.25" hidden="false" customHeight="true" outlineLevel="0" collapsed="false">
      <c r="M518" s="214"/>
    </row>
    <row r="519" customFormat="false" ht="14.25" hidden="false" customHeight="true" outlineLevel="0" collapsed="false">
      <c r="M519" s="214"/>
    </row>
    <row r="520" customFormat="false" ht="14.25" hidden="false" customHeight="true" outlineLevel="0" collapsed="false">
      <c r="M520" s="214"/>
    </row>
    <row r="521" customFormat="false" ht="14.25" hidden="false" customHeight="true" outlineLevel="0" collapsed="false">
      <c r="M521" s="214"/>
    </row>
    <row r="522" customFormat="false" ht="14.25" hidden="false" customHeight="true" outlineLevel="0" collapsed="false">
      <c r="M522" s="214"/>
    </row>
    <row r="523" customFormat="false" ht="14.25" hidden="false" customHeight="true" outlineLevel="0" collapsed="false">
      <c r="M523" s="214"/>
    </row>
    <row r="524" customFormat="false" ht="14.25" hidden="false" customHeight="true" outlineLevel="0" collapsed="false">
      <c r="M524" s="214"/>
    </row>
    <row r="525" customFormat="false" ht="14.25" hidden="false" customHeight="true" outlineLevel="0" collapsed="false">
      <c r="M525" s="214"/>
    </row>
    <row r="526" customFormat="false" ht="14.25" hidden="false" customHeight="true" outlineLevel="0" collapsed="false">
      <c r="M526" s="214"/>
    </row>
    <row r="527" customFormat="false" ht="14.25" hidden="false" customHeight="true" outlineLevel="0" collapsed="false">
      <c r="M527" s="214"/>
    </row>
    <row r="528" customFormat="false" ht="14.25" hidden="false" customHeight="true" outlineLevel="0" collapsed="false">
      <c r="M528" s="214"/>
    </row>
    <row r="529" customFormat="false" ht="14.25" hidden="false" customHeight="true" outlineLevel="0" collapsed="false">
      <c r="M529" s="214"/>
    </row>
    <row r="530" customFormat="false" ht="14.25" hidden="false" customHeight="true" outlineLevel="0" collapsed="false">
      <c r="M530" s="214"/>
    </row>
    <row r="531" customFormat="false" ht="14.25" hidden="false" customHeight="true" outlineLevel="0" collapsed="false">
      <c r="M531" s="214"/>
    </row>
    <row r="532" customFormat="false" ht="14.25" hidden="false" customHeight="true" outlineLevel="0" collapsed="false">
      <c r="M532" s="214"/>
    </row>
    <row r="533" customFormat="false" ht="14.25" hidden="false" customHeight="true" outlineLevel="0" collapsed="false">
      <c r="M533" s="214"/>
    </row>
    <row r="534" customFormat="false" ht="14.25" hidden="false" customHeight="true" outlineLevel="0" collapsed="false">
      <c r="M534" s="214"/>
    </row>
    <row r="535" customFormat="false" ht="14.25" hidden="false" customHeight="true" outlineLevel="0" collapsed="false">
      <c r="M535" s="214"/>
    </row>
    <row r="536" customFormat="false" ht="14.25" hidden="false" customHeight="true" outlineLevel="0" collapsed="false">
      <c r="M536" s="214"/>
    </row>
    <row r="537" customFormat="false" ht="14.25" hidden="false" customHeight="true" outlineLevel="0" collapsed="false">
      <c r="M537" s="214"/>
    </row>
    <row r="538" customFormat="false" ht="14.25" hidden="false" customHeight="true" outlineLevel="0" collapsed="false">
      <c r="M538" s="214"/>
    </row>
    <row r="539" customFormat="false" ht="14.25" hidden="false" customHeight="true" outlineLevel="0" collapsed="false">
      <c r="M539" s="214"/>
    </row>
    <row r="540" customFormat="false" ht="14.25" hidden="false" customHeight="true" outlineLevel="0" collapsed="false">
      <c r="M540" s="214"/>
    </row>
    <row r="541" customFormat="false" ht="14.25" hidden="false" customHeight="true" outlineLevel="0" collapsed="false">
      <c r="M541" s="214"/>
    </row>
    <row r="542" customFormat="false" ht="14.25" hidden="false" customHeight="true" outlineLevel="0" collapsed="false">
      <c r="M542" s="214"/>
    </row>
    <row r="543" customFormat="false" ht="14.25" hidden="false" customHeight="true" outlineLevel="0" collapsed="false">
      <c r="M543" s="214"/>
    </row>
    <row r="544" customFormat="false" ht="14.25" hidden="false" customHeight="true" outlineLevel="0" collapsed="false">
      <c r="M544" s="214"/>
    </row>
    <row r="545" customFormat="false" ht="14.25" hidden="false" customHeight="true" outlineLevel="0" collapsed="false">
      <c r="M545" s="214"/>
    </row>
    <row r="546" customFormat="false" ht="14.25" hidden="false" customHeight="true" outlineLevel="0" collapsed="false">
      <c r="M546" s="214"/>
    </row>
    <row r="547" customFormat="false" ht="14.25" hidden="false" customHeight="true" outlineLevel="0" collapsed="false">
      <c r="M547" s="214"/>
    </row>
    <row r="548" customFormat="false" ht="14.25" hidden="false" customHeight="true" outlineLevel="0" collapsed="false">
      <c r="M548" s="214"/>
    </row>
    <row r="549" customFormat="false" ht="14.25" hidden="false" customHeight="true" outlineLevel="0" collapsed="false">
      <c r="M549" s="214"/>
    </row>
    <row r="550" customFormat="false" ht="14.25" hidden="false" customHeight="true" outlineLevel="0" collapsed="false">
      <c r="M550" s="214"/>
    </row>
    <row r="551" customFormat="false" ht="14.25" hidden="false" customHeight="true" outlineLevel="0" collapsed="false">
      <c r="M551" s="214"/>
    </row>
    <row r="552" customFormat="false" ht="14.25" hidden="false" customHeight="true" outlineLevel="0" collapsed="false">
      <c r="M552" s="214"/>
    </row>
    <row r="553" customFormat="false" ht="14.25" hidden="false" customHeight="true" outlineLevel="0" collapsed="false">
      <c r="M553" s="214"/>
    </row>
    <row r="554" customFormat="false" ht="14.25" hidden="false" customHeight="true" outlineLevel="0" collapsed="false">
      <c r="M554" s="214"/>
    </row>
    <row r="555" customFormat="false" ht="14.25" hidden="false" customHeight="true" outlineLevel="0" collapsed="false">
      <c r="M555" s="214"/>
    </row>
    <row r="556" customFormat="false" ht="14.25" hidden="false" customHeight="true" outlineLevel="0" collapsed="false">
      <c r="M556" s="214"/>
    </row>
    <row r="557" customFormat="false" ht="14.25" hidden="false" customHeight="true" outlineLevel="0" collapsed="false">
      <c r="M557" s="214"/>
    </row>
    <row r="558" customFormat="false" ht="14.25" hidden="false" customHeight="true" outlineLevel="0" collapsed="false">
      <c r="M558" s="214"/>
    </row>
    <row r="559" customFormat="false" ht="14.25" hidden="false" customHeight="true" outlineLevel="0" collapsed="false">
      <c r="M559" s="214"/>
    </row>
    <row r="560" customFormat="false" ht="14.25" hidden="false" customHeight="true" outlineLevel="0" collapsed="false">
      <c r="M560" s="214"/>
    </row>
    <row r="561" customFormat="false" ht="14.25" hidden="false" customHeight="true" outlineLevel="0" collapsed="false">
      <c r="M561" s="214"/>
    </row>
    <row r="562" customFormat="false" ht="14.25" hidden="false" customHeight="true" outlineLevel="0" collapsed="false">
      <c r="M562" s="214"/>
    </row>
    <row r="563" customFormat="false" ht="14.25" hidden="false" customHeight="true" outlineLevel="0" collapsed="false">
      <c r="M563" s="214"/>
    </row>
    <row r="564" customFormat="false" ht="14.25" hidden="false" customHeight="true" outlineLevel="0" collapsed="false">
      <c r="M564" s="214"/>
    </row>
    <row r="565" customFormat="false" ht="14.25" hidden="false" customHeight="true" outlineLevel="0" collapsed="false">
      <c r="M565" s="214"/>
    </row>
    <row r="566" customFormat="false" ht="14.25" hidden="false" customHeight="true" outlineLevel="0" collapsed="false">
      <c r="M566" s="214"/>
    </row>
    <row r="567" customFormat="false" ht="14.25" hidden="false" customHeight="true" outlineLevel="0" collapsed="false">
      <c r="M567" s="214"/>
    </row>
    <row r="568" customFormat="false" ht="14.25" hidden="false" customHeight="true" outlineLevel="0" collapsed="false">
      <c r="M568" s="214"/>
    </row>
    <row r="569" customFormat="false" ht="14.25" hidden="false" customHeight="true" outlineLevel="0" collapsed="false">
      <c r="M569" s="214"/>
    </row>
    <row r="570" customFormat="false" ht="14.25" hidden="false" customHeight="true" outlineLevel="0" collapsed="false">
      <c r="M570" s="214"/>
    </row>
    <row r="571" customFormat="false" ht="14.25" hidden="false" customHeight="true" outlineLevel="0" collapsed="false">
      <c r="M571" s="214"/>
    </row>
    <row r="572" customFormat="false" ht="14.25" hidden="false" customHeight="true" outlineLevel="0" collapsed="false">
      <c r="M572" s="214"/>
    </row>
    <row r="573" customFormat="false" ht="14.25" hidden="false" customHeight="true" outlineLevel="0" collapsed="false">
      <c r="M573" s="214"/>
    </row>
    <row r="574" customFormat="false" ht="14.25" hidden="false" customHeight="true" outlineLevel="0" collapsed="false">
      <c r="M574" s="214"/>
    </row>
    <row r="575" customFormat="false" ht="14.25" hidden="false" customHeight="true" outlineLevel="0" collapsed="false">
      <c r="M575" s="214"/>
    </row>
    <row r="576" customFormat="false" ht="14.25" hidden="false" customHeight="true" outlineLevel="0" collapsed="false">
      <c r="M576" s="214"/>
    </row>
    <row r="577" customFormat="false" ht="14.25" hidden="false" customHeight="true" outlineLevel="0" collapsed="false">
      <c r="M577" s="214"/>
    </row>
    <row r="578" customFormat="false" ht="14.25" hidden="false" customHeight="true" outlineLevel="0" collapsed="false">
      <c r="M578" s="214"/>
    </row>
    <row r="579" customFormat="false" ht="14.25" hidden="false" customHeight="true" outlineLevel="0" collapsed="false">
      <c r="M579" s="214"/>
    </row>
    <row r="580" customFormat="false" ht="14.25" hidden="false" customHeight="true" outlineLevel="0" collapsed="false">
      <c r="M580" s="214"/>
    </row>
    <row r="581" customFormat="false" ht="14.25" hidden="false" customHeight="true" outlineLevel="0" collapsed="false">
      <c r="M581" s="214"/>
    </row>
    <row r="582" customFormat="false" ht="14.25" hidden="false" customHeight="true" outlineLevel="0" collapsed="false">
      <c r="M582" s="214"/>
    </row>
    <row r="583" customFormat="false" ht="14.25" hidden="false" customHeight="true" outlineLevel="0" collapsed="false">
      <c r="M583" s="214"/>
    </row>
    <row r="584" customFormat="false" ht="14.25" hidden="false" customHeight="true" outlineLevel="0" collapsed="false">
      <c r="M584" s="214"/>
    </row>
    <row r="585" customFormat="false" ht="14.25" hidden="false" customHeight="true" outlineLevel="0" collapsed="false">
      <c r="M585" s="214"/>
    </row>
    <row r="586" customFormat="false" ht="14.25" hidden="false" customHeight="true" outlineLevel="0" collapsed="false">
      <c r="M586" s="214"/>
    </row>
    <row r="587" customFormat="false" ht="14.25" hidden="false" customHeight="true" outlineLevel="0" collapsed="false">
      <c r="M587" s="214"/>
    </row>
    <row r="588" customFormat="false" ht="14.25" hidden="false" customHeight="true" outlineLevel="0" collapsed="false">
      <c r="M588" s="214"/>
    </row>
    <row r="589" customFormat="false" ht="14.25" hidden="false" customHeight="true" outlineLevel="0" collapsed="false">
      <c r="M589" s="214"/>
    </row>
    <row r="590" customFormat="false" ht="14.25" hidden="false" customHeight="true" outlineLevel="0" collapsed="false">
      <c r="M590" s="214"/>
    </row>
    <row r="591" customFormat="false" ht="14.25" hidden="false" customHeight="true" outlineLevel="0" collapsed="false">
      <c r="M591" s="214"/>
    </row>
    <row r="592" customFormat="false" ht="14.25" hidden="false" customHeight="true" outlineLevel="0" collapsed="false">
      <c r="M592" s="214"/>
    </row>
    <row r="593" customFormat="false" ht="14.25" hidden="false" customHeight="true" outlineLevel="0" collapsed="false">
      <c r="M593" s="214"/>
    </row>
    <row r="594" customFormat="false" ht="14.25" hidden="false" customHeight="true" outlineLevel="0" collapsed="false">
      <c r="M594" s="214"/>
    </row>
    <row r="595" customFormat="false" ht="14.25" hidden="false" customHeight="true" outlineLevel="0" collapsed="false">
      <c r="M595" s="214"/>
    </row>
    <row r="596" customFormat="false" ht="14.25" hidden="false" customHeight="true" outlineLevel="0" collapsed="false">
      <c r="M596" s="214"/>
    </row>
    <row r="597" customFormat="false" ht="14.25" hidden="false" customHeight="true" outlineLevel="0" collapsed="false">
      <c r="M597" s="214"/>
    </row>
    <row r="598" customFormat="false" ht="14.25" hidden="false" customHeight="true" outlineLevel="0" collapsed="false">
      <c r="M598" s="214"/>
    </row>
    <row r="599" customFormat="false" ht="14.25" hidden="false" customHeight="true" outlineLevel="0" collapsed="false">
      <c r="M599" s="214"/>
    </row>
    <row r="600" customFormat="false" ht="14.25" hidden="false" customHeight="true" outlineLevel="0" collapsed="false">
      <c r="M600" s="214"/>
    </row>
    <row r="601" customFormat="false" ht="14.25" hidden="false" customHeight="true" outlineLevel="0" collapsed="false">
      <c r="M601" s="214"/>
    </row>
    <row r="602" customFormat="false" ht="14.25" hidden="false" customHeight="true" outlineLevel="0" collapsed="false">
      <c r="M602" s="214"/>
    </row>
    <row r="603" customFormat="false" ht="14.25" hidden="false" customHeight="true" outlineLevel="0" collapsed="false">
      <c r="M603" s="214"/>
    </row>
    <row r="604" customFormat="false" ht="14.25" hidden="false" customHeight="true" outlineLevel="0" collapsed="false">
      <c r="M604" s="214"/>
    </row>
    <row r="605" customFormat="false" ht="14.25" hidden="false" customHeight="true" outlineLevel="0" collapsed="false">
      <c r="M605" s="214"/>
    </row>
    <row r="606" customFormat="false" ht="14.25" hidden="false" customHeight="true" outlineLevel="0" collapsed="false">
      <c r="M606" s="214"/>
    </row>
    <row r="607" customFormat="false" ht="14.25" hidden="false" customHeight="true" outlineLevel="0" collapsed="false">
      <c r="M607" s="214"/>
    </row>
    <row r="608" customFormat="false" ht="14.25" hidden="false" customHeight="true" outlineLevel="0" collapsed="false">
      <c r="M608" s="214"/>
    </row>
    <row r="609" customFormat="false" ht="14.25" hidden="false" customHeight="true" outlineLevel="0" collapsed="false">
      <c r="M609" s="214"/>
    </row>
    <row r="610" customFormat="false" ht="14.25" hidden="false" customHeight="true" outlineLevel="0" collapsed="false">
      <c r="M610" s="214"/>
    </row>
    <row r="611" customFormat="false" ht="14.25" hidden="false" customHeight="true" outlineLevel="0" collapsed="false">
      <c r="M611" s="214"/>
    </row>
    <row r="612" customFormat="false" ht="14.25" hidden="false" customHeight="true" outlineLevel="0" collapsed="false">
      <c r="M612" s="214"/>
    </row>
    <row r="613" customFormat="false" ht="14.25" hidden="false" customHeight="true" outlineLevel="0" collapsed="false">
      <c r="M613" s="214"/>
    </row>
    <row r="614" customFormat="false" ht="14.25" hidden="false" customHeight="true" outlineLevel="0" collapsed="false">
      <c r="M614" s="214"/>
    </row>
    <row r="615" customFormat="false" ht="14.25" hidden="false" customHeight="true" outlineLevel="0" collapsed="false">
      <c r="M615" s="214"/>
    </row>
    <row r="616" customFormat="false" ht="14.25" hidden="false" customHeight="true" outlineLevel="0" collapsed="false">
      <c r="M616" s="214"/>
    </row>
    <row r="617" customFormat="false" ht="14.25" hidden="false" customHeight="true" outlineLevel="0" collapsed="false">
      <c r="M617" s="214"/>
    </row>
    <row r="618" customFormat="false" ht="14.25" hidden="false" customHeight="true" outlineLevel="0" collapsed="false">
      <c r="M618" s="214"/>
    </row>
    <row r="619" customFormat="false" ht="14.25" hidden="false" customHeight="true" outlineLevel="0" collapsed="false">
      <c r="M619" s="214"/>
    </row>
    <row r="620" customFormat="false" ht="14.25" hidden="false" customHeight="true" outlineLevel="0" collapsed="false">
      <c r="M620" s="214"/>
    </row>
    <row r="621" customFormat="false" ht="14.25" hidden="false" customHeight="true" outlineLevel="0" collapsed="false">
      <c r="M621" s="214"/>
    </row>
    <row r="622" customFormat="false" ht="14.25" hidden="false" customHeight="true" outlineLevel="0" collapsed="false">
      <c r="M622" s="214"/>
    </row>
    <row r="623" customFormat="false" ht="14.25" hidden="false" customHeight="true" outlineLevel="0" collapsed="false">
      <c r="M623" s="214"/>
    </row>
    <row r="624" customFormat="false" ht="14.25" hidden="false" customHeight="true" outlineLevel="0" collapsed="false">
      <c r="M624" s="214"/>
    </row>
    <row r="625" customFormat="false" ht="14.25" hidden="false" customHeight="true" outlineLevel="0" collapsed="false">
      <c r="M625" s="214"/>
    </row>
    <row r="626" customFormat="false" ht="14.25" hidden="false" customHeight="true" outlineLevel="0" collapsed="false">
      <c r="M626" s="214"/>
    </row>
    <row r="627" customFormat="false" ht="14.25" hidden="false" customHeight="true" outlineLevel="0" collapsed="false">
      <c r="M627" s="214"/>
    </row>
    <row r="628" customFormat="false" ht="14.25" hidden="false" customHeight="true" outlineLevel="0" collapsed="false">
      <c r="M628" s="214"/>
    </row>
    <row r="629" customFormat="false" ht="14.25" hidden="false" customHeight="true" outlineLevel="0" collapsed="false">
      <c r="M629" s="214"/>
    </row>
    <row r="630" customFormat="false" ht="14.25" hidden="false" customHeight="true" outlineLevel="0" collapsed="false">
      <c r="M630" s="214"/>
    </row>
    <row r="631" customFormat="false" ht="14.25" hidden="false" customHeight="true" outlineLevel="0" collapsed="false">
      <c r="M631" s="214"/>
    </row>
    <row r="632" customFormat="false" ht="14.25" hidden="false" customHeight="true" outlineLevel="0" collapsed="false">
      <c r="M632" s="214"/>
    </row>
    <row r="633" customFormat="false" ht="14.25" hidden="false" customHeight="true" outlineLevel="0" collapsed="false">
      <c r="M633" s="214"/>
    </row>
    <row r="634" customFormat="false" ht="14.25" hidden="false" customHeight="true" outlineLevel="0" collapsed="false">
      <c r="M634" s="214"/>
    </row>
    <row r="635" customFormat="false" ht="14.25" hidden="false" customHeight="true" outlineLevel="0" collapsed="false">
      <c r="M635" s="214"/>
    </row>
    <row r="636" customFormat="false" ht="14.25" hidden="false" customHeight="true" outlineLevel="0" collapsed="false">
      <c r="M636" s="214"/>
    </row>
    <row r="637" customFormat="false" ht="14.25" hidden="false" customHeight="true" outlineLevel="0" collapsed="false">
      <c r="M637" s="214"/>
    </row>
    <row r="638" customFormat="false" ht="14.25" hidden="false" customHeight="true" outlineLevel="0" collapsed="false">
      <c r="M638" s="214"/>
    </row>
    <row r="639" customFormat="false" ht="14.25" hidden="false" customHeight="true" outlineLevel="0" collapsed="false">
      <c r="M639" s="214"/>
    </row>
    <row r="640" customFormat="false" ht="14.25" hidden="false" customHeight="true" outlineLevel="0" collapsed="false">
      <c r="M640" s="214"/>
    </row>
    <row r="641" customFormat="false" ht="14.25" hidden="false" customHeight="true" outlineLevel="0" collapsed="false">
      <c r="M641" s="214"/>
    </row>
    <row r="642" customFormat="false" ht="14.25" hidden="false" customHeight="true" outlineLevel="0" collapsed="false">
      <c r="M642" s="214"/>
    </row>
    <row r="643" customFormat="false" ht="14.25" hidden="false" customHeight="true" outlineLevel="0" collapsed="false">
      <c r="M643" s="214"/>
    </row>
    <row r="644" customFormat="false" ht="14.25" hidden="false" customHeight="true" outlineLevel="0" collapsed="false">
      <c r="M644" s="214"/>
    </row>
    <row r="645" customFormat="false" ht="14.25" hidden="false" customHeight="true" outlineLevel="0" collapsed="false">
      <c r="M645" s="214"/>
    </row>
    <row r="646" customFormat="false" ht="14.25" hidden="false" customHeight="true" outlineLevel="0" collapsed="false">
      <c r="M646" s="214"/>
    </row>
    <row r="647" customFormat="false" ht="14.25" hidden="false" customHeight="true" outlineLevel="0" collapsed="false">
      <c r="M647" s="214"/>
    </row>
    <row r="648" customFormat="false" ht="14.25" hidden="false" customHeight="true" outlineLevel="0" collapsed="false">
      <c r="M648" s="214"/>
    </row>
    <row r="649" customFormat="false" ht="14.25" hidden="false" customHeight="true" outlineLevel="0" collapsed="false">
      <c r="M649" s="214"/>
    </row>
    <row r="650" customFormat="false" ht="14.25" hidden="false" customHeight="true" outlineLevel="0" collapsed="false">
      <c r="M650" s="214"/>
    </row>
    <row r="651" customFormat="false" ht="14.25" hidden="false" customHeight="true" outlineLevel="0" collapsed="false">
      <c r="M651" s="214"/>
    </row>
    <row r="652" customFormat="false" ht="14.25" hidden="false" customHeight="true" outlineLevel="0" collapsed="false">
      <c r="M652" s="214"/>
    </row>
    <row r="653" customFormat="false" ht="14.25" hidden="false" customHeight="true" outlineLevel="0" collapsed="false">
      <c r="M653" s="214"/>
    </row>
    <row r="654" customFormat="false" ht="14.25" hidden="false" customHeight="true" outlineLevel="0" collapsed="false">
      <c r="M654" s="214"/>
    </row>
    <row r="655" customFormat="false" ht="14.25" hidden="false" customHeight="true" outlineLevel="0" collapsed="false">
      <c r="M655" s="214"/>
    </row>
    <row r="656" customFormat="false" ht="14.25" hidden="false" customHeight="true" outlineLevel="0" collapsed="false">
      <c r="M656" s="214"/>
    </row>
    <row r="657" customFormat="false" ht="14.25" hidden="false" customHeight="true" outlineLevel="0" collapsed="false">
      <c r="M657" s="214"/>
    </row>
    <row r="658" customFormat="false" ht="14.25" hidden="false" customHeight="true" outlineLevel="0" collapsed="false">
      <c r="M658" s="214"/>
    </row>
    <row r="659" customFormat="false" ht="14.25" hidden="false" customHeight="true" outlineLevel="0" collapsed="false">
      <c r="M659" s="214"/>
    </row>
    <row r="660" customFormat="false" ht="14.25" hidden="false" customHeight="true" outlineLevel="0" collapsed="false">
      <c r="M660" s="214"/>
    </row>
    <row r="661" customFormat="false" ht="14.25" hidden="false" customHeight="true" outlineLevel="0" collapsed="false">
      <c r="M661" s="214"/>
    </row>
    <row r="662" customFormat="false" ht="14.25" hidden="false" customHeight="true" outlineLevel="0" collapsed="false">
      <c r="M662" s="214"/>
    </row>
    <row r="663" customFormat="false" ht="14.25" hidden="false" customHeight="true" outlineLevel="0" collapsed="false">
      <c r="M663" s="214"/>
    </row>
    <row r="664" customFormat="false" ht="14.25" hidden="false" customHeight="true" outlineLevel="0" collapsed="false">
      <c r="M664" s="214"/>
    </row>
    <row r="665" customFormat="false" ht="14.25" hidden="false" customHeight="true" outlineLevel="0" collapsed="false">
      <c r="M665" s="214"/>
    </row>
    <row r="666" customFormat="false" ht="14.25" hidden="false" customHeight="true" outlineLevel="0" collapsed="false">
      <c r="M666" s="214"/>
    </row>
    <row r="667" customFormat="false" ht="14.25" hidden="false" customHeight="true" outlineLevel="0" collapsed="false">
      <c r="M667" s="214"/>
    </row>
    <row r="668" customFormat="false" ht="14.25" hidden="false" customHeight="true" outlineLevel="0" collapsed="false">
      <c r="M668" s="214"/>
    </row>
    <row r="669" customFormat="false" ht="14.25" hidden="false" customHeight="true" outlineLevel="0" collapsed="false">
      <c r="M669" s="214"/>
    </row>
    <row r="670" customFormat="false" ht="14.25" hidden="false" customHeight="true" outlineLevel="0" collapsed="false">
      <c r="M670" s="214"/>
    </row>
    <row r="671" customFormat="false" ht="14.25" hidden="false" customHeight="true" outlineLevel="0" collapsed="false">
      <c r="M671" s="214"/>
    </row>
    <row r="672" customFormat="false" ht="14.25" hidden="false" customHeight="true" outlineLevel="0" collapsed="false">
      <c r="M672" s="214"/>
    </row>
    <row r="673" customFormat="false" ht="14.25" hidden="false" customHeight="true" outlineLevel="0" collapsed="false">
      <c r="M673" s="214"/>
    </row>
    <row r="674" customFormat="false" ht="14.25" hidden="false" customHeight="true" outlineLevel="0" collapsed="false">
      <c r="M674" s="214"/>
    </row>
    <row r="675" customFormat="false" ht="14.25" hidden="false" customHeight="true" outlineLevel="0" collapsed="false">
      <c r="M675" s="214"/>
    </row>
    <row r="676" customFormat="false" ht="14.25" hidden="false" customHeight="true" outlineLevel="0" collapsed="false">
      <c r="M676" s="214"/>
    </row>
    <row r="677" customFormat="false" ht="14.25" hidden="false" customHeight="true" outlineLevel="0" collapsed="false">
      <c r="M677" s="214"/>
    </row>
    <row r="678" customFormat="false" ht="14.25" hidden="false" customHeight="true" outlineLevel="0" collapsed="false">
      <c r="M678" s="214"/>
    </row>
    <row r="679" customFormat="false" ht="14.25" hidden="false" customHeight="true" outlineLevel="0" collapsed="false">
      <c r="M679" s="214"/>
    </row>
    <row r="680" customFormat="false" ht="14.25" hidden="false" customHeight="true" outlineLevel="0" collapsed="false">
      <c r="M680" s="214"/>
    </row>
    <row r="681" customFormat="false" ht="14.25" hidden="false" customHeight="true" outlineLevel="0" collapsed="false">
      <c r="M681" s="214"/>
    </row>
    <row r="682" customFormat="false" ht="14.25" hidden="false" customHeight="true" outlineLevel="0" collapsed="false">
      <c r="M682" s="214"/>
    </row>
    <row r="683" customFormat="false" ht="14.25" hidden="false" customHeight="true" outlineLevel="0" collapsed="false">
      <c r="M683" s="214"/>
    </row>
    <row r="684" customFormat="false" ht="14.25" hidden="false" customHeight="true" outlineLevel="0" collapsed="false">
      <c r="M684" s="214"/>
    </row>
    <row r="685" customFormat="false" ht="14.25" hidden="false" customHeight="true" outlineLevel="0" collapsed="false">
      <c r="M685" s="214"/>
    </row>
    <row r="686" customFormat="false" ht="14.25" hidden="false" customHeight="true" outlineLevel="0" collapsed="false">
      <c r="M686" s="214"/>
    </row>
    <row r="687" customFormat="false" ht="14.25" hidden="false" customHeight="true" outlineLevel="0" collapsed="false">
      <c r="M687" s="214"/>
    </row>
    <row r="688" customFormat="false" ht="14.25" hidden="false" customHeight="true" outlineLevel="0" collapsed="false">
      <c r="M688" s="214"/>
    </row>
    <row r="689" customFormat="false" ht="14.25" hidden="false" customHeight="true" outlineLevel="0" collapsed="false">
      <c r="M689" s="214"/>
    </row>
    <row r="690" customFormat="false" ht="14.25" hidden="false" customHeight="true" outlineLevel="0" collapsed="false">
      <c r="M690" s="214"/>
    </row>
    <row r="691" customFormat="false" ht="14.25" hidden="false" customHeight="true" outlineLevel="0" collapsed="false">
      <c r="M691" s="214"/>
    </row>
    <row r="692" customFormat="false" ht="14.25" hidden="false" customHeight="true" outlineLevel="0" collapsed="false">
      <c r="M692" s="214"/>
    </row>
    <row r="693" customFormat="false" ht="14.25" hidden="false" customHeight="true" outlineLevel="0" collapsed="false">
      <c r="M693" s="214"/>
    </row>
    <row r="694" customFormat="false" ht="14.25" hidden="false" customHeight="true" outlineLevel="0" collapsed="false">
      <c r="M694" s="214"/>
    </row>
    <row r="695" customFormat="false" ht="14.25" hidden="false" customHeight="true" outlineLevel="0" collapsed="false">
      <c r="M695" s="214"/>
    </row>
    <row r="696" customFormat="false" ht="14.25" hidden="false" customHeight="true" outlineLevel="0" collapsed="false">
      <c r="M696" s="214"/>
    </row>
    <row r="697" customFormat="false" ht="14.25" hidden="false" customHeight="true" outlineLevel="0" collapsed="false">
      <c r="M697" s="214"/>
    </row>
    <row r="698" customFormat="false" ht="14.25" hidden="false" customHeight="true" outlineLevel="0" collapsed="false">
      <c r="M698" s="214"/>
    </row>
    <row r="699" customFormat="false" ht="14.25" hidden="false" customHeight="true" outlineLevel="0" collapsed="false">
      <c r="M699" s="214"/>
    </row>
    <row r="700" customFormat="false" ht="14.25" hidden="false" customHeight="true" outlineLevel="0" collapsed="false">
      <c r="M700" s="214"/>
    </row>
    <row r="701" customFormat="false" ht="14.25" hidden="false" customHeight="true" outlineLevel="0" collapsed="false">
      <c r="M701" s="214"/>
    </row>
    <row r="702" customFormat="false" ht="14.25" hidden="false" customHeight="true" outlineLevel="0" collapsed="false">
      <c r="M702" s="214"/>
    </row>
    <row r="703" customFormat="false" ht="14.25" hidden="false" customHeight="true" outlineLevel="0" collapsed="false">
      <c r="M703" s="214"/>
    </row>
    <row r="704" customFormat="false" ht="14.25" hidden="false" customHeight="true" outlineLevel="0" collapsed="false">
      <c r="M704" s="214"/>
    </row>
    <row r="705" customFormat="false" ht="14.25" hidden="false" customHeight="true" outlineLevel="0" collapsed="false">
      <c r="M705" s="214"/>
    </row>
    <row r="706" customFormat="false" ht="14.25" hidden="false" customHeight="true" outlineLevel="0" collapsed="false">
      <c r="M706" s="214"/>
    </row>
    <row r="707" customFormat="false" ht="14.25" hidden="false" customHeight="true" outlineLevel="0" collapsed="false">
      <c r="M707" s="214"/>
    </row>
    <row r="708" customFormat="false" ht="14.25" hidden="false" customHeight="true" outlineLevel="0" collapsed="false">
      <c r="M708" s="214"/>
    </row>
    <row r="709" customFormat="false" ht="14.25" hidden="false" customHeight="true" outlineLevel="0" collapsed="false">
      <c r="M709" s="214"/>
    </row>
    <row r="710" customFormat="false" ht="14.25" hidden="false" customHeight="true" outlineLevel="0" collapsed="false">
      <c r="M710" s="214"/>
    </row>
    <row r="711" customFormat="false" ht="14.25" hidden="false" customHeight="true" outlineLevel="0" collapsed="false">
      <c r="M711" s="214"/>
    </row>
    <row r="712" customFormat="false" ht="14.25" hidden="false" customHeight="true" outlineLevel="0" collapsed="false">
      <c r="M712" s="214"/>
    </row>
    <row r="713" customFormat="false" ht="14.25" hidden="false" customHeight="true" outlineLevel="0" collapsed="false">
      <c r="M713" s="214"/>
    </row>
    <row r="714" customFormat="false" ht="14.25" hidden="false" customHeight="true" outlineLevel="0" collapsed="false">
      <c r="M714" s="214"/>
    </row>
    <row r="715" customFormat="false" ht="14.25" hidden="false" customHeight="true" outlineLevel="0" collapsed="false">
      <c r="M715" s="214"/>
    </row>
    <row r="716" customFormat="false" ht="14.25" hidden="false" customHeight="true" outlineLevel="0" collapsed="false">
      <c r="M716" s="214"/>
    </row>
    <row r="717" customFormat="false" ht="14.25" hidden="false" customHeight="true" outlineLevel="0" collapsed="false">
      <c r="M717" s="214"/>
    </row>
    <row r="718" customFormat="false" ht="14.25" hidden="false" customHeight="true" outlineLevel="0" collapsed="false">
      <c r="M718" s="214"/>
    </row>
    <row r="719" customFormat="false" ht="14.25" hidden="false" customHeight="true" outlineLevel="0" collapsed="false">
      <c r="M719" s="214"/>
    </row>
    <row r="720" customFormat="false" ht="14.25" hidden="false" customHeight="true" outlineLevel="0" collapsed="false">
      <c r="M720" s="214"/>
    </row>
    <row r="721" customFormat="false" ht="14.25" hidden="false" customHeight="true" outlineLevel="0" collapsed="false">
      <c r="M721" s="214"/>
    </row>
    <row r="722" customFormat="false" ht="14.25" hidden="false" customHeight="true" outlineLevel="0" collapsed="false">
      <c r="M722" s="214"/>
    </row>
    <row r="723" customFormat="false" ht="14.25" hidden="false" customHeight="true" outlineLevel="0" collapsed="false">
      <c r="M723" s="214"/>
    </row>
    <row r="724" customFormat="false" ht="14.25" hidden="false" customHeight="true" outlineLevel="0" collapsed="false">
      <c r="M724" s="214"/>
    </row>
    <row r="725" customFormat="false" ht="14.25" hidden="false" customHeight="true" outlineLevel="0" collapsed="false">
      <c r="M725" s="214"/>
    </row>
    <row r="726" customFormat="false" ht="14.25" hidden="false" customHeight="true" outlineLevel="0" collapsed="false">
      <c r="M726" s="214"/>
    </row>
    <row r="727" customFormat="false" ht="14.25" hidden="false" customHeight="true" outlineLevel="0" collapsed="false">
      <c r="M727" s="214"/>
    </row>
    <row r="728" customFormat="false" ht="14.25" hidden="false" customHeight="true" outlineLevel="0" collapsed="false">
      <c r="M728" s="214"/>
    </row>
    <row r="729" customFormat="false" ht="14.25" hidden="false" customHeight="true" outlineLevel="0" collapsed="false">
      <c r="M729" s="214"/>
    </row>
    <row r="730" customFormat="false" ht="14.25" hidden="false" customHeight="true" outlineLevel="0" collapsed="false">
      <c r="M730" s="214"/>
    </row>
    <row r="731" customFormat="false" ht="14.25" hidden="false" customHeight="true" outlineLevel="0" collapsed="false">
      <c r="M731" s="214"/>
    </row>
    <row r="732" customFormat="false" ht="14.25" hidden="false" customHeight="true" outlineLevel="0" collapsed="false">
      <c r="M732" s="214"/>
    </row>
    <row r="733" customFormat="false" ht="14.25" hidden="false" customHeight="true" outlineLevel="0" collapsed="false">
      <c r="M733" s="214"/>
    </row>
    <row r="734" customFormat="false" ht="14.25" hidden="false" customHeight="true" outlineLevel="0" collapsed="false">
      <c r="M734" s="214"/>
    </row>
    <row r="735" customFormat="false" ht="14.25" hidden="false" customHeight="true" outlineLevel="0" collapsed="false">
      <c r="M735" s="214"/>
    </row>
    <row r="736" customFormat="false" ht="14.25" hidden="false" customHeight="true" outlineLevel="0" collapsed="false">
      <c r="M736" s="214"/>
    </row>
    <row r="737" customFormat="false" ht="14.25" hidden="false" customHeight="true" outlineLevel="0" collapsed="false">
      <c r="M737" s="214"/>
    </row>
    <row r="738" customFormat="false" ht="14.25" hidden="false" customHeight="true" outlineLevel="0" collapsed="false">
      <c r="M738" s="214"/>
    </row>
    <row r="739" customFormat="false" ht="14.25" hidden="false" customHeight="true" outlineLevel="0" collapsed="false">
      <c r="M739" s="214"/>
    </row>
    <row r="740" customFormat="false" ht="14.25" hidden="false" customHeight="true" outlineLevel="0" collapsed="false">
      <c r="M740" s="214"/>
    </row>
    <row r="741" customFormat="false" ht="14.25" hidden="false" customHeight="true" outlineLevel="0" collapsed="false">
      <c r="M741" s="214"/>
    </row>
    <row r="742" customFormat="false" ht="14.25" hidden="false" customHeight="true" outlineLevel="0" collapsed="false">
      <c r="M742" s="214"/>
    </row>
    <row r="743" customFormat="false" ht="14.25" hidden="false" customHeight="true" outlineLevel="0" collapsed="false">
      <c r="M743" s="214"/>
    </row>
    <row r="744" customFormat="false" ht="14.25" hidden="false" customHeight="true" outlineLevel="0" collapsed="false">
      <c r="M744" s="214"/>
    </row>
    <row r="745" customFormat="false" ht="14.25" hidden="false" customHeight="true" outlineLevel="0" collapsed="false">
      <c r="M745" s="214"/>
    </row>
    <row r="746" customFormat="false" ht="14.25" hidden="false" customHeight="true" outlineLevel="0" collapsed="false">
      <c r="M746" s="214"/>
    </row>
    <row r="747" customFormat="false" ht="14.25" hidden="false" customHeight="true" outlineLevel="0" collapsed="false">
      <c r="M747" s="214"/>
    </row>
    <row r="748" customFormat="false" ht="14.25" hidden="false" customHeight="true" outlineLevel="0" collapsed="false">
      <c r="M748" s="214"/>
    </row>
    <row r="749" customFormat="false" ht="14.25" hidden="false" customHeight="true" outlineLevel="0" collapsed="false">
      <c r="M749" s="214"/>
    </row>
    <row r="750" customFormat="false" ht="14.25" hidden="false" customHeight="true" outlineLevel="0" collapsed="false">
      <c r="M750" s="214"/>
    </row>
    <row r="751" customFormat="false" ht="14.25" hidden="false" customHeight="true" outlineLevel="0" collapsed="false">
      <c r="M751" s="214"/>
    </row>
    <row r="752" customFormat="false" ht="14.25" hidden="false" customHeight="true" outlineLevel="0" collapsed="false">
      <c r="M752" s="214"/>
    </row>
    <row r="753" customFormat="false" ht="14.25" hidden="false" customHeight="true" outlineLevel="0" collapsed="false">
      <c r="M753" s="214"/>
    </row>
    <row r="754" customFormat="false" ht="14.25" hidden="false" customHeight="true" outlineLevel="0" collapsed="false">
      <c r="M754" s="214"/>
    </row>
    <row r="755" customFormat="false" ht="14.25" hidden="false" customHeight="true" outlineLevel="0" collapsed="false">
      <c r="M755" s="214"/>
    </row>
    <row r="756" customFormat="false" ht="14.25" hidden="false" customHeight="true" outlineLevel="0" collapsed="false">
      <c r="M756" s="214"/>
    </row>
    <row r="757" customFormat="false" ht="14.25" hidden="false" customHeight="true" outlineLevel="0" collapsed="false">
      <c r="M757" s="214"/>
    </row>
    <row r="758" customFormat="false" ht="14.25" hidden="false" customHeight="true" outlineLevel="0" collapsed="false">
      <c r="M758" s="214"/>
    </row>
    <row r="759" customFormat="false" ht="14.25" hidden="false" customHeight="true" outlineLevel="0" collapsed="false">
      <c r="M759" s="214"/>
    </row>
    <row r="760" customFormat="false" ht="14.25" hidden="false" customHeight="true" outlineLevel="0" collapsed="false">
      <c r="M760" s="214"/>
    </row>
    <row r="761" customFormat="false" ht="14.25" hidden="false" customHeight="true" outlineLevel="0" collapsed="false">
      <c r="M761" s="214"/>
    </row>
    <row r="762" customFormat="false" ht="14.25" hidden="false" customHeight="true" outlineLevel="0" collapsed="false">
      <c r="M762" s="214"/>
    </row>
    <row r="763" customFormat="false" ht="14.25" hidden="false" customHeight="true" outlineLevel="0" collapsed="false">
      <c r="M763" s="214"/>
    </row>
    <row r="764" customFormat="false" ht="14.25" hidden="false" customHeight="true" outlineLevel="0" collapsed="false">
      <c r="M764" s="214"/>
    </row>
    <row r="765" customFormat="false" ht="14.25" hidden="false" customHeight="true" outlineLevel="0" collapsed="false">
      <c r="M765" s="214"/>
    </row>
    <row r="766" customFormat="false" ht="14.25" hidden="false" customHeight="true" outlineLevel="0" collapsed="false">
      <c r="M766" s="214"/>
    </row>
    <row r="767" customFormat="false" ht="14.25" hidden="false" customHeight="true" outlineLevel="0" collapsed="false">
      <c r="M767" s="214"/>
    </row>
    <row r="768" customFormat="false" ht="14.25" hidden="false" customHeight="true" outlineLevel="0" collapsed="false">
      <c r="M768" s="214"/>
    </row>
    <row r="769" customFormat="false" ht="14.25" hidden="false" customHeight="true" outlineLevel="0" collapsed="false">
      <c r="M769" s="214"/>
    </row>
    <row r="770" customFormat="false" ht="14.25" hidden="false" customHeight="true" outlineLevel="0" collapsed="false">
      <c r="M770" s="214"/>
    </row>
    <row r="771" customFormat="false" ht="14.25" hidden="false" customHeight="true" outlineLevel="0" collapsed="false">
      <c r="M771" s="214"/>
    </row>
    <row r="772" customFormat="false" ht="14.25" hidden="false" customHeight="true" outlineLevel="0" collapsed="false">
      <c r="M772" s="214"/>
    </row>
    <row r="773" customFormat="false" ht="14.25" hidden="false" customHeight="true" outlineLevel="0" collapsed="false">
      <c r="M773" s="214"/>
    </row>
    <row r="774" customFormat="false" ht="14.25" hidden="false" customHeight="true" outlineLevel="0" collapsed="false">
      <c r="M774" s="214"/>
    </row>
    <row r="775" customFormat="false" ht="14.25" hidden="false" customHeight="true" outlineLevel="0" collapsed="false">
      <c r="M775" s="214"/>
    </row>
    <row r="776" customFormat="false" ht="14.25" hidden="false" customHeight="true" outlineLevel="0" collapsed="false">
      <c r="M776" s="214"/>
    </row>
    <row r="777" customFormat="false" ht="14.25" hidden="false" customHeight="true" outlineLevel="0" collapsed="false">
      <c r="M777" s="214"/>
    </row>
    <row r="778" customFormat="false" ht="14.25" hidden="false" customHeight="true" outlineLevel="0" collapsed="false">
      <c r="M778" s="214"/>
    </row>
    <row r="779" customFormat="false" ht="14.25" hidden="false" customHeight="true" outlineLevel="0" collapsed="false">
      <c r="M779" s="214"/>
    </row>
    <row r="780" customFormat="false" ht="14.25" hidden="false" customHeight="true" outlineLevel="0" collapsed="false">
      <c r="M780" s="214"/>
    </row>
    <row r="781" customFormat="false" ht="14.25" hidden="false" customHeight="true" outlineLevel="0" collapsed="false">
      <c r="M781" s="214"/>
    </row>
    <row r="782" customFormat="false" ht="14.25" hidden="false" customHeight="true" outlineLevel="0" collapsed="false">
      <c r="M782" s="214"/>
    </row>
    <row r="783" customFormat="false" ht="14.25" hidden="false" customHeight="true" outlineLevel="0" collapsed="false">
      <c r="M783" s="214"/>
    </row>
    <row r="784" customFormat="false" ht="14.25" hidden="false" customHeight="true" outlineLevel="0" collapsed="false">
      <c r="M784" s="214"/>
    </row>
    <row r="785" customFormat="false" ht="14.25" hidden="false" customHeight="true" outlineLevel="0" collapsed="false">
      <c r="M785" s="214"/>
    </row>
    <row r="786" customFormat="false" ht="14.25" hidden="false" customHeight="true" outlineLevel="0" collapsed="false">
      <c r="M786" s="214"/>
    </row>
    <row r="787" customFormat="false" ht="14.25" hidden="false" customHeight="true" outlineLevel="0" collapsed="false">
      <c r="M787" s="214"/>
    </row>
    <row r="788" customFormat="false" ht="14.25" hidden="false" customHeight="true" outlineLevel="0" collapsed="false">
      <c r="M788" s="214"/>
    </row>
    <row r="789" customFormat="false" ht="14.25" hidden="false" customHeight="true" outlineLevel="0" collapsed="false">
      <c r="M789" s="214"/>
    </row>
    <row r="790" customFormat="false" ht="14.25" hidden="false" customHeight="true" outlineLevel="0" collapsed="false">
      <c r="M790" s="214"/>
    </row>
    <row r="791" customFormat="false" ht="14.25" hidden="false" customHeight="true" outlineLevel="0" collapsed="false">
      <c r="M791" s="214"/>
    </row>
    <row r="792" customFormat="false" ht="14.25" hidden="false" customHeight="true" outlineLevel="0" collapsed="false">
      <c r="M792" s="214"/>
    </row>
    <row r="793" customFormat="false" ht="14.25" hidden="false" customHeight="true" outlineLevel="0" collapsed="false">
      <c r="M793" s="214"/>
    </row>
    <row r="794" customFormat="false" ht="14.25" hidden="false" customHeight="true" outlineLevel="0" collapsed="false">
      <c r="M794" s="214"/>
    </row>
    <row r="795" customFormat="false" ht="14.25" hidden="false" customHeight="true" outlineLevel="0" collapsed="false">
      <c r="M795" s="214"/>
    </row>
    <row r="796" customFormat="false" ht="14.25" hidden="false" customHeight="true" outlineLevel="0" collapsed="false">
      <c r="M796" s="214"/>
    </row>
    <row r="797" customFormat="false" ht="14.25" hidden="false" customHeight="true" outlineLevel="0" collapsed="false">
      <c r="M797" s="214"/>
    </row>
    <row r="798" customFormat="false" ht="14.25" hidden="false" customHeight="true" outlineLevel="0" collapsed="false">
      <c r="M798" s="214"/>
    </row>
    <row r="799" customFormat="false" ht="14.25" hidden="false" customHeight="true" outlineLevel="0" collapsed="false">
      <c r="M799" s="214"/>
    </row>
    <row r="800" customFormat="false" ht="14.25" hidden="false" customHeight="true" outlineLevel="0" collapsed="false">
      <c r="M800" s="214"/>
    </row>
    <row r="801" customFormat="false" ht="14.25" hidden="false" customHeight="true" outlineLevel="0" collapsed="false">
      <c r="M801" s="214"/>
    </row>
    <row r="802" customFormat="false" ht="14.25" hidden="false" customHeight="true" outlineLevel="0" collapsed="false">
      <c r="M802" s="214"/>
    </row>
    <row r="803" customFormat="false" ht="14.25" hidden="false" customHeight="true" outlineLevel="0" collapsed="false">
      <c r="M803" s="214"/>
    </row>
    <row r="804" customFormat="false" ht="14.25" hidden="false" customHeight="true" outlineLevel="0" collapsed="false">
      <c r="M804" s="214"/>
    </row>
    <row r="805" customFormat="false" ht="14.25" hidden="false" customHeight="true" outlineLevel="0" collapsed="false">
      <c r="M805" s="214"/>
    </row>
    <row r="806" customFormat="false" ht="14.25" hidden="false" customHeight="true" outlineLevel="0" collapsed="false">
      <c r="M806" s="214"/>
    </row>
    <row r="807" customFormat="false" ht="14.25" hidden="false" customHeight="true" outlineLevel="0" collapsed="false">
      <c r="M807" s="214"/>
    </row>
    <row r="808" customFormat="false" ht="14.25" hidden="false" customHeight="true" outlineLevel="0" collapsed="false">
      <c r="M808" s="214"/>
    </row>
    <row r="809" customFormat="false" ht="14.25" hidden="false" customHeight="true" outlineLevel="0" collapsed="false">
      <c r="M809" s="214"/>
    </row>
    <row r="810" customFormat="false" ht="14.25" hidden="false" customHeight="true" outlineLevel="0" collapsed="false">
      <c r="M810" s="214"/>
    </row>
    <row r="811" customFormat="false" ht="14.25" hidden="false" customHeight="true" outlineLevel="0" collapsed="false">
      <c r="M811" s="214"/>
    </row>
    <row r="812" customFormat="false" ht="14.25" hidden="false" customHeight="true" outlineLevel="0" collapsed="false">
      <c r="M812" s="214"/>
    </row>
    <row r="813" customFormat="false" ht="14.25" hidden="false" customHeight="true" outlineLevel="0" collapsed="false">
      <c r="M813" s="214"/>
    </row>
    <row r="814" customFormat="false" ht="14.25" hidden="false" customHeight="true" outlineLevel="0" collapsed="false">
      <c r="M814" s="214"/>
    </row>
    <row r="815" customFormat="false" ht="14.25" hidden="false" customHeight="true" outlineLevel="0" collapsed="false">
      <c r="M815" s="214"/>
    </row>
    <row r="816" customFormat="false" ht="14.25" hidden="false" customHeight="true" outlineLevel="0" collapsed="false">
      <c r="M816" s="214"/>
    </row>
    <row r="817" customFormat="false" ht="14.25" hidden="false" customHeight="true" outlineLevel="0" collapsed="false">
      <c r="M817" s="214"/>
    </row>
    <row r="818" customFormat="false" ht="14.25" hidden="false" customHeight="true" outlineLevel="0" collapsed="false">
      <c r="M818" s="214"/>
    </row>
    <row r="819" customFormat="false" ht="14.25" hidden="false" customHeight="true" outlineLevel="0" collapsed="false">
      <c r="M819" s="214"/>
    </row>
    <row r="820" customFormat="false" ht="14.25" hidden="false" customHeight="true" outlineLevel="0" collapsed="false">
      <c r="M820" s="214"/>
    </row>
    <row r="821" customFormat="false" ht="14.25" hidden="false" customHeight="true" outlineLevel="0" collapsed="false">
      <c r="M821" s="214"/>
    </row>
    <row r="822" customFormat="false" ht="14.25" hidden="false" customHeight="true" outlineLevel="0" collapsed="false">
      <c r="M822" s="214"/>
    </row>
    <row r="823" customFormat="false" ht="14.25" hidden="false" customHeight="true" outlineLevel="0" collapsed="false">
      <c r="M823" s="214"/>
    </row>
    <row r="824" customFormat="false" ht="14.25" hidden="false" customHeight="true" outlineLevel="0" collapsed="false">
      <c r="M824" s="214"/>
    </row>
    <row r="825" customFormat="false" ht="14.25" hidden="false" customHeight="true" outlineLevel="0" collapsed="false">
      <c r="M825" s="214"/>
    </row>
    <row r="826" customFormat="false" ht="14.25" hidden="false" customHeight="true" outlineLevel="0" collapsed="false">
      <c r="M826" s="214"/>
    </row>
    <row r="827" customFormat="false" ht="14.25" hidden="false" customHeight="true" outlineLevel="0" collapsed="false">
      <c r="M827" s="214"/>
    </row>
    <row r="828" customFormat="false" ht="14.25" hidden="false" customHeight="true" outlineLevel="0" collapsed="false">
      <c r="M828" s="214"/>
    </row>
    <row r="829" customFormat="false" ht="14.25" hidden="false" customHeight="true" outlineLevel="0" collapsed="false">
      <c r="M829" s="214"/>
    </row>
    <row r="830" customFormat="false" ht="14.25" hidden="false" customHeight="true" outlineLevel="0" collapsed="false">
      <c r="M830" s="214"/>
    </row>
    <row r="831" customFormat="false" ht="14.25" hidden="false" customHeight="true" outlineLevel="0" collapsed="false">
      <c r="M831" s="214"/>
    </row>
    <row r="832" customFormat="false" ht="14.25" hidden="false" customHeight="true" outlineLevel="0" collapsed="false">
      <c r="M832" s="214"/>
    </row>
    <row r="833" customFormat="false" ht="14.25" hidden="false" customHeight="true" outlineLevel="0" collapsed="false">
      <c r="M833" s="214"/>
    </row>
    <row r="834" customFormat="false" ht="14.25" hidden="false" customHeight="true" outlineLevel="0" collapsed="false">
      <c r="M834" s="214"/>
    </row>
    <row r="835" customFormat="false" ht="14.25" hidden="false" customHeight="true" outlineLevel="0" collapsed="false">
      <c r="M835" s="214"/>
    </row>
    <row r="836" customFormat="false" ht="14.25" hidden="false" customHeight="true" outlineLevel="0" collapsed="false">
      <c r="M836" s="214"/>
    </row>
    <row r="837" customFormat="false" ht="14.25" hidden="false" customHeight="true" outlineLevel="0" collapsed="false">
      <c r="M837" s="214"/>
    </row>
    <row r="838" customFormat="false" ht="14.25" hidden="false" customHeight="true" outlineLevel="0" collapsed="false">
      <c r="M838" s="214"/>
    </row>
    <row r="839" customFormat="false" ht="14.25" hidden="false" customHeight="true" outlineLevel="0" collapsed="false">
      <c r="M839" s="214"/>
    </row>
    <row r="840" customFormat="false" ht="14.25" hidden="false" customHeight="true" outlineLevel="0" collapsed="false">
      <c r="M840" s="214"/>
    </row>
    <row r="841" customFormat="false" ht="14.25" hidden="false" customHeight="true" outlineLevel="0" collapsed="false">
      <c r="M841" s="214"/>
    </row>
    <row r="842" customFormat="false" ht="14.25" hidden="false" customHeight="true" outlineLevel="0" collapsed="false">
      <c r="M842" s="214"/>
    </row>
    <row r="843" customFormat="false" ht="14.25" hidden="false" customHeight="true" outlineLevel="0" collapsed="false">
      <c r="M843" s="214"/>
    </row>
    <row r="844" customFormat="false" ht="14.25" hidden="false" customHeight="true" outlineLevel="0" collapsed="false">
      <c r="M844" s="214"/>
    </row>
    <row r="845" customFormat="false" ht="14.25" hidden="false" customHeight="true" outlineLevel="0" collapsed="false">
      <c r="M845" s="214"/>
    </row>
    <row r="846" customFormat="false" ht="14.25" hidden="false" customHeight="true" outlineLevel="0" collapsed="false">
      <c r="M846" s="214"/>
    </row>
    <row r="847" customFormat="false" ht="14.25" hidden="false" customHeight="true" outlineLevel="0" collapsed="false">
      <c r="M847" s="214"/>
    </row>
    <row r="848" customFormat="false" ht="14.25" hidden="false" customHeight="true" outlineLevel="0" collapsed="false">
      <c r="M848" s="214"/>
    </row>
    <row r="849" customFormat="false" ht="14.25" hidden="false" customHeight="true" outlineLevel="0" collapsed="false">
      <c r="M849" s="214"/>
    </row>
    <row r="850" customFormat="false" ht="14.25" hidden="false" customHeight="true" outlineLevel="0" collapsed="false">
      <c r="M850" s="214"/>
    </row>
    <row r="851" customFormat="false" ht="14.25" hidden="false" customHeight="true" outlineLevel="0" collapsed="false">
      <c r="M851" s="214"/>
    </row>
    <row r="852" customFormat="false" ht="14.25" hidden="false" customHeight="true" outlineLevel="0" collapsed="false">
      <c r="M852" s="214"/>
    </row>
    <row r="853" customFormat="false" ht="14.25" hidden="false" customHeight="true" outlineLevel="0" collapsed="false">
      <c r="M853" s="214"/>
    </row>
    <row r="854" customFormat="false" ht="14.25" hidden="false" customHeight="true" outlineLevel="0" collapsed="false">
      <c r="M854" s="214"/>
    </row>
    <row r="855" customFormat="false" ht="14.25" hidden="false" customHeight="true" outlineLevel="0" collapsed="false">
      <c r="M855" s="214"/>
    </row>
    <row r="856" customFormat="false" ht="14.25" hidden="false" customHeight="true" outlineLevel="0" collapsed="false">
      <c r="M856" s="214"/>
    </row>
    <row r="857" customFormat="false" ht="14.25" hidden="false" customHeight="true" outlineLevel="0" collapsed="false">
      <c r="M857" s="214"/>
    </row>
    <row r="858" customFormat="false" ht="14.25" hidden="false" customHeight="true" outlineLevel="0" collapsed="false">
      <c r="M858" s="214"/>
    </row>
    <row r="859" customFormat="false" ht="14.25" hidden="false" customHeight="true" outlineLevel="0" collapsed="false">
      <c r="M859" s="214"/>
    </row>
    <row r="860" customFormat="false" ht="14.25" hidden="false" customHeight="true" outlineLevel="0" collapsed="false">
      <c r="M860" s="214"/>
    </row>
    <row r="861" customFormat="false" ht="14.25" hidden="false" customHeight="true" outlineLevel="0" collapsed="false">
      <c r="M861" s="214"/>
    </row>
    <row r="862" customFormat="false" ht="14.25" hidden="false" customHeight="true" outlineLevel="0" collapsed="false">
      <c r="M862" s="214"/>
    </row>
    <row r="863" customFormat="false" ht="14.25" hidden="false" customHeight="true" outlineLevel="0" collapsed="false">
      <c r="M863" s="214"/>
    </row>
    <row r="864" customFormat="false" ht="14.25" hidden="false" customHeight="true" outlineLevel="0" collapsed="false">
      <c r="M864" s="214"/>
    </row>
    <row r="865" customFormat="false" ht="14.25" hidden="false" customHeight="true" outlineLevel="0" collapsed="false">
      <c r="M865" s="214"/>
    </row>
    <row r="866" customFormat="false" ht="14.25" hidden="false" customHeight="true" outlineLevel="0" collapsed="false">
      <c r="M866" s="214"/>
    </row>
    <row r="867" customFormat="false" ht="14.25" hidden="false" customHeight="true" outlineLevel="0" collapsed="false">
      <c r="M867" s="214"/>
    </row>
    <row r="868" customFormat="false" ht="14.25" hidden="false" customHeight="true" outlineLevel="0" collapsed="false">
      <c r="M868" s="214"/>
    </row>
    <row r="869" customFormat="false" ht="14.25" hidden="false" customHeight="true" outlineLevel="0" collapsed="false">
      <c r="M869" s="214"/>
    </row>
    <row r="870" customFormat="false" ht="14.25" hidden="false" customHeight="true" outlineLevel="0" collapsed="false">
      <c r="M870" s="214"/>
    </row>
    <row r="871" customFormat="false" ht="14.25" hidden="false" customHeight="true" outlineLevel="0" collapsed="false">
      <c r="M871" s="214"/>
    </row>
    <row r="872" customFormat="false" ht="14.25" hidden="false" customHeight="true" outlineLevel="0" collapsed="false">
      <c r="M872" s="214"/>
    </row>
    <row r="873" customFormat="false" ht="14.25" hidden="false" customHeight="true" outlineLevel="0" collapsed="false">
      <c r="M873" s="214"/>
    </row>
    <row r="874" customFormat="false" ht="14.25" hidden="false" customHeight="true" outlineLevel="0" collapsed="false">
      <c r="M874" s="214"/>
    </row>
    <row r="875" customFormat="false" ht="14.25" hidden="false" customHeight="true" outlineLevel="0" collapsed="false">
      <c r="M875" s="214"/>
    </row>
    <row r="876" customFormat="false" ht="14.25" hidden="false" customHeight="true" outlineLevel="0" collapsed="false">
      <c r="M876" s="214"/>
    </row>
    <row r="877" customFormat="false" ht="14.25" hidden="false" customHeight="true" outlineLevel="0" collapsed="false">
      <c r="M877" s="214"/>
    </row>
    <row r="878" customFormat="false" ht="14.25" hidden="false" customHeight="true" outlineLevel="0" collapsed="false">
      <c r="M878" s="214"/>
    </row>
    <row r="879" customFormat="false" ht="14.25" hidden="false" customHeight="true" outlineLevel="0" collapsed="false">
      <c r="M879" s="214"/>
    </row>
    <row r="880" customFormat="false" ht="14.25" hidden="false" customHeight="true" outlineLevel="0" collapsed="false">
      <c r="M880" s="214"/>
    </row>
    <row r="881" customFormat="false" ht="14.25" hidden="false" customHeight="true" outlineLevel="0" collapsed="false">
      <c r="M881" s="214"/>
    </row>
    <row r="882" customFormat="false" ht="14.25" hidden="false" customHeight="true" outlineLevel="0" collapsed="false">
      <c r="M882" s="214"/>
    </row>
    <row r="883" customFormat="false" ht="14.25" hidden="false" customHeight="true" outlineLevel="0" collapsed="false">
      <c r="M883" s="214"/>
    </row>
    <row r="884" customFormat="false" ht="14.25" hidden="false" customHeight="true" outlineLevel="0" collapsed="false">
      <c r="M884" s="214"/>
    </row>
    <row r="885" customFormat="false" ht="14.25" hidden="false" customHeight="true" outlineLevel="0" collapsed="false">
      <c r="M885" s="214"/>
    </row>
    <row r="886" customFormat="false" ht="14.25" hidden="false" customHeight="true" outlineLevel="0" collapsed="false">
      <c r="M886" s="214"/>
    </row>
    <row r="887" customFormat="false" ht="14.25" hidden="false" customHeight="true" outlineLevel="0" collapsed="false">
      <c r="M887" s="214"/>
    </row>
    <row r="888" customFormat="false" ht="14.25" hidden="false" customHeight="true" outlineLevel="0" collapsed="false">
      <c r="M888" s="214"/>
    </row>
    <row r="889" customFormat="false" ht="14.25" hidden="false" customHeight="true" outlineLevel="0" collapsed="false">
      <c r="M889" s="214"/>
    </row>
    <row r="890" customFormat="false" ht="14.25" hidden="false" customHeight="true" outlineLevel="0" collapsed="false">
      <c r="M890" s="214"/>
    </row>
    <row r="891" customFormat="false" ht="14.25" hidden="false" customHeight="true" outlineLevel="0" collapsed="false">
      <c r="M891" s="214"/>
    </row>
    <row r="892" customFormat="false" ht="14.25" hidden="false" customHeight="true" outlineLevel="0" collapsed="false">
      <c r="M892" s="214"/>
    </row>
    <row r="893" customFormat="false" ht="14.25" hidden="false" customHeight="true" outlineLevel="0" collapsed="false">
      <c r="M893" s="214"/>
    </row>
    <row r="894" customFormat="false" ht="14.25" hidden="false" customHeight="true" outlineLevel="0" collapsed="false">
      <c r="M894" s="214"/>
    </row>
    <row r="895" customFormat="false" ht="14.25" hidden="false" customHeight="true" outlineLevel="0" collapsed="false">
      <c r="M895" s="214"/>
    </row>
    <row r="896" customFormat="false" ht="14.25" hidden="false" customHeight="true" outlineLevel="0" collapsed="false">
      <c r="M896" s="214"/>
    </row>
    <row r="897" customFormat="false" ht="14.25" hidden="false" customHeight="true" outlineLevel="0" collapsed="false">
      <c r="M897" s="214"/>
    </row>
    <row r="898" customFormat="false" ht="14.25" hidden="false" customHeight="true" outlineLevel="0" collapsed="false">
      <c r="M898" s="214"/>
    </row>
    <row r="899" customFormat="false" ht="14.25" hidden="false" customHeight="true" outlineLevel="0" collapsed="false">
      <c r="M899" s="214"/>
    </row>
    <row r="900" customFormat="false" ht="14.25" hidden="false" customHeight="true" outlineLevel="0" collapsed="false">
      <c r="M900" s="214"/>
    </row>
    <row r="901" customFormat="false" ht="14.25" hidden="false" customHeight="true" outlineLevel="0" collapsed="false">
      <c r="M901" s="214"/>
    </row>
    <row r="902" customFormat="false" ht="14.25" hidden="false" customHeight="true" outlineLevel="0" collapsed="false">
      <c r="M902" s="214"/>
    </row>
    <row r="903" customFormat="false" ht="14.25" hidden="false" customHeight="true" outlineLevel="0" collapsed="false">
      <c r="M903" s="214"/>
    </row>
    <row r="904" customFormat="false" ht="14.25" hidden="false" customHeight="true" outlineLevel="0" collapsed="false">
      <c r="M904" s="214"/>
    </row>
    <row r="905" customFormat="false" ht="14.25" hidden="false" customHeight="true" outlineLevel="0" collapsed="false">
      <c r="M905" s="214"/>
    </row>
    <row r="906" customFormat="false" ht="14.25" hidden="false" customHeight="true" outlineLevel="0" collapsed="false">
      <c r="M906" s="214"/>
    </row>
    <row r="907" customFormat="false" ht="14.25" hidden="false" customHeight="true" outlineLevel="0" collapsed="false">
      <c r="M907" s="214"/>
    </row>
    <row r="908" customFormat="false" ht="14.25" hidden="false" customHeight="true" outlineLevel="0" collapsed="false">
      <c r="M908" s="214"/>
    </row>
    <row r="909" customFormat="false" ht="14.25" hidden="false" customHeight="true" outlineLevel="0" collapsed="false">
      <c r="M909" s="214"/>
    </row>
    <row r="910" customFormat="false" ht="14.25" hidden="false" customHeight="true" outlineLevel="0" collapsed="false">
      <c r="M910" s="214"/>
    </row>
    <row r="911" customFormat="false" ht="14.25" hidden="false" customHeight="true" outlineLevel="0" collapsed="false">
      <c r="M911" s="214"/>
    </row>
    <row r="912" customFormat="false" ht="14.25" hidden="false" customHeight="true" outlineLevel="0" collapsed="false">
      <c r="M912" s="214"/>
    </row>
    <row r="913" customFormat="false" ht="14.25" hidden="false" customHeight="true" outlineLevel="0" collapsed="false">
      <c r="M913" s="214"/>
    </row>
    <row r="914" customFormat="false" ht="14.25" hidden="false" customHeight="true" outlineLevel="0" collapsed="false">
      <c r="M914" s="214"/>
    </row>
    <row r="915" customFormat="false" ht="14.25" hidden="false" customHeight="true" outlineLevel="0" collapsed="false">
      <c r="M915" s="214"/>
    </row>
    <row r="916" customFormat="false" ht="14.25" hidden="false" customHeight="true" outlineLevel="0" collapsed="false">
      <c r="M916" s="214"/>
    </row>
    <row r="917" customFormat="false" ht="14.25" hidden="false" customHeight="true" outlineLevel="0" collapsed="false">
      <c r="M917" s="214"/>
    </row>
    <row r="918" customFormat="false" ht="14.25" hidden="false" customHeight="true" outlineLevel="0" collapsed="false">
      <c r="M918" s="214"/>
    </row>
    <row r="919" customFormat="false" ht="14.25" hidden="false" customHeight="true" outlineLevel="0" collapsed="false">
      <c r="M919" s="214"/>
    </row>
    <row r="920" customFormat="false" ht="14.25" hidden="false" customHeight="true" outlineLevel="0" collapsed="false">
      <c r="M920" s="214"/>
    </row>
    <row r="921" customFormat="false" ht="14.25" hidden="false" customHeight="true" outlineLevel="0" collapsed="false">
      <c r="M921" s="214"/>
    </row>
    <row r="922" customFormat="false" ht="14.25" hidden="false" customHeight="true" outlineLevel="0" collapsed="false">
      <c r="M922" s="214"/>
    </row>
    <row r="923" customFormat="false" ht="14.25" hidden="false" customHeight="true" outlineLevel="0" collapsed="false">
      <c r="M923" s="214"/>
    </row>
    <row r="924" customFormat="false" ht="14.25" hidden="false" customHeight="true" outlineLevel="0" collapsed="false">
      <c r="M924" s="214"/>
    </row>
    <row r="925" customFormat="false" ht="14.25" hidden="false" customHeight="true" outlineLevel="0" collapsed="false">
      <c r="M925" s="214"/>
    </row>
    <row r="926" customFormat="false" ht="14.25" hidden="false" customHeight="true" outlineLevel="0" collapsed="false">
      <c r="M926" s="214"/>
    </row>
    <row r="927" customFormat="false" ht="14.25" hidden="false" customHeight="true" outlineLevel="0" collapsed="false">
      <c r="M927" s="214"/>
    </row>
    <row r="928" customFormat="false" ht="14.25" hidden="false" customHeight="true" outlineLevel="0" collapsed="false">
      <c r="M928" s="214"/>
    </row>
    <row r="929" customFormat="false" ht="14.25" hidden="false" customHeight="true" outlineLevel="0" collapsed="false">
      <c r="M929" s="214"/>
    </row>
    <row r="930" customFormat="false" ht="14.25" hidden="false" customHeight="true" outlineLevel="0" collapsed="false">
      <c r="M930" s="214"/>
    </row>
    <row r="931" customFormat="false" ht="14.25" hidden="false" customHeight="true" outlineLevel="0" collapsed="false">
      <c r="M931" s="214"/>
    </row>
    <row r="932" customFormat="false" ht="14.25" hidden="false" customHeight="true" outlineLevel="0" collapsed="false">
      <c r="M932" s="214"/>
    </row>
    <row r="933" customFormat="false" ht="14.25" hidden="false" customHeight="true" outlineLevel="0" collapsed="false">
      <c r="M933" s="214"/>
    </row>
    <row r="934" customFormat="false" ht="14.25" hidden="false" customHeight="true" outlineLevel="0" collapsed="false">
      <c r="M934" s="214"/>
    </row>
    <row r="935" customFormat="false" ht="14.25" hidden="false" customHeight="true" outlineLevel="0" collapsed="false">
      <c r="M935" s="214"/>
    </row>
    <row r="936" customFormat="false" ht="14.25" hidden="false" customHeight="true" outlineLevel="0" collapsed="false">
      <c r="M936" s="214"/>
    </row>
    <row r="937" customFormat="false" ht="14.25" hidden="false" customHeight="true" outlineLevel="0" collapsed="false">
      <c r="M937" s="214"/>
    </row>
    <row r="938" customFormat="false" ht="14.25" hidden="false" customHeight="true" outlineLevel="0" collapsed="false">
      <c r="M938" s="214"/>
    </row>
    <row r="939" customFormat="false" ht="14.25" hidden="false" customHeight="true" outlineLevel="0" collapsed="false">
      <c r="M939" s="214"/>
    </row>
    <row r="940" customFormat="false" ht="14.25" hidden="false" customHeight="true" outlineLevel="0" collapsed="false">
      <c r="M940" s="214"/>
    </row>
    <row r="941" customFormat="false" ht="14.25" hidden="false" customHeight="true" outlineLevel="0" collapsed="false">
      <c r="M941" s="214"/>
    </row>
    <row r="942" customFormat="false" ht="14.25" hidden="false" customHeight="true" outlineLevel="0" collapsed="false">
      <c r="M942" s="214"/>
    </row>
    <row r="943" customFormat="false" ht="14.25" hidden="false" customHeight="true" outlineLevel="0" collapsed="false">
      <c r="M943" s="214"/>
    </row>
    <row r="944" customFormat="false" ht="14.25" hidden="false" customHeight="true" outlineLevel="0" collapsed="false">
      <c r="M944" s="214"/>
    </row>
    <row r="945" customFormat="false" ht="14.25" hidden="false" customHeight="true" outlineLevel="0" collapsed="false">
      <c r="M945" s="214"/>
    </row>
    <row r="946" customFormat="false" ht="14.25" hidden="false" customHeight="true" outlineLevel="0" collapsed="false">
      <c r="M946" s="214"/>
    </row>
    <row r="947" customFormat="false" ht="14.25" hidden="false" customHeight="true" outlineLevel="0" collapsed="false">
      <c r="M947" s="214"/>
    </row>
    <row r="948" customFormat="false" ht="14.25" hidden="false" customHeight="true" outlineLevel="0" collapsed="false">
      <c r="M948" s="214"/>
    </row>
    <row r="949" customFormat="false" ht="14.25" hidden="false" customHeight="true" outlineLevel="0" collapsed="false">
      <c r="M949" s="214"/>
    </row>
    <row r="950" customFormat="false" ht="14.25" hidden="false" customHeight="true" outlineLevel="0" collapsed="false">
      <c r="M950" s="214"/>
    </row>
    <row r="951" customFormat="false" ht="14.25" hidden="false" customHeight="true" outlineLevel="0" collapsed="false">
      <c r="M951" s="214"/>
    </row>
    <row r="952" customFormat="false" ht="14.25" hidden="false" customHeight="true" outlineLevel="0" collapsed="false">
      <c r="M952" s="214"/>
    </row>
    <row r="953" customFormat="false" ht="14.25" hidden="false" customHeight="true" outlineLevel="0" collapsed="false">
      <c r="M953" s="214"/>
    </row>
    <row r="954" customFormat="false" ht="14.25" hidden="false" customHeight="true" outlineLevel="0" collapsed="false">
      <c r="M954" s="214"/>
    </row>
    <row r="955" customFormat="false" ht="14.25" hidden="false" customHeight="true" outlineLevel="0" collapsed="false">
      <c r="M955" s="214"/>
    </row>
    <row r="956" customFormat="false" ht="14.25" hidden="false" customHeight="true" outlineLevel="0" collapsed="false">
      <c r="M956" s="214"/>
    </row>
    <row r="957" customFormat="false" ht="14.25" hidden="false" customHeight="true" outlineLevel="0" collapsed="false">
      <c r="M957" s="214"/>
    </row>
    <row r="958" customFormat="false" ht="14.25" hidden="false" customHeight="true" outlineLevel="0" collapsed="false">
      <c r="M958" s="214"/>
    </row>
    <row r="959" customFormat="false" ht="14.25" hidden="false" customHeight="true" outlineLevel="0" collapsed="false">
      <c r="M959" s="214"/>
    </row>
    <row r="960" customFormat="false" ht="14.25" hidden="false" customHeight="true" outlineLevel="0" collapsed="false">
      <c r="M960" s="214"/>
    </row>
    <row r="961" customFormat="false" ht="14.25" hidden="false" customHeight="true" outlineLevel="0" collapsed="false">
      <c r="M961" s="214"/>
    </row>
    <row r="962" customFormat="false" ht="14.25" hidden="false" customHeight="true" outlineLevel="0" collapsed="false">
      <c r="M962" s="214"/>
    </row>
    <row r="963" customFormat="false" ht="14.25" hidden="false" customHeight="true" outlineLevel="0" collapsed="false">
      <c r="M963" s="214"/>
    </row>
    <row r="964" customFormat="false" ht="14.25" hidden="false" customHeight="true" outlineLevel="0" collapsed="false">
      <c r="M964" s="214"/>
    </row>
    <row r="965" customFormat="false" ht="14.25" hidden="false" customHeight="true" outlineLevel="0" collapsed="false">
      <c r="M965" s="214"/>
    </row>
    <row r="966" customFormat="false" ht="14.25" hidden="false" customHeight="true" outlineLevel="0" collapsed="false">
      <c r="M966" s="214"/>
    </row>
    <row r="967" customFormat="false" ht="14.25" hidden="false" customHeight="true" outlineLevel="0" collapsed="false">
      <c r="M967" s="214"/>
    </row>
    <row r="968" customFormat="false" ht="14.25" hidden="false" customHeight="true" outlineLevel="0" collapsed="false">
      <c r="M968" s="214"/>
    </row>
    <row r="969" customFormat="false" ht="14.25" hidden="false" customHeight="true" outlineLevel="0" collapsed="false">
      <c r="M969" s="214"/>
    </row>
    <row r="970" customFormat="false" ht="14.25" hidden="false" customHeight="true" outlineLevel="0" collapsed="false">
      <c r="M970" s="214"/>
    </row>
    <row r="971" customFormat="false" ht="14.25" hidden="false" customHeight="true" outlineLevel="0" collapsed="false">
      <c r="M971" s="214"/>
    </row>
    <row r="972" customFormat="false" ht="14.25" hidden="false" customHeight="true" outlineLevel="0" collapsed="false">
      <c r="M972" s="214"/>
    </row>
    <row r="973" customFormat="false" ht="14.25" hidden="false" customHeight="true" outlineLevel="0" collapsed="false">
      <c r="M973" s="214"/>
    </row>
    <row r="974" customFormat="false" ht="14.25" hidden="false" customHeight="true" outlineLevel="0" collapsed="false">
      <c r="M974" s="214"/>
    </row>
    <row r="975" customFormat="false" ht="14.25" hidden="false" customHeight="true" outlineLevel="0" collapsed="false">
      <c r="M975" s="214"/>
    </row>
    <row r="976" customFormat="false" ht="14.25" hidden="false" customHeight="true" outlineLevel="0" collapsed="false">
      <c r="M976" s="214"/>
    </row>
    <row r="977" customFormat="false" ht="14.25" hidden="false" customHeight="true" outlineLevel="0" collapsed="false">
      <c r="M977" s="214"/>
    </row>
    <row r="978" customFormat="false" ht="14.25" hidden="false" customHeight="true" outlineLevel="0" collapsed="false">
      <c r="M978" s="214"/>
    </row>
    <row r="979" customFormat="false" ht="14.25" hidden="false" customHeight="true" outlineLevel="0" collapsed="false">
      <c r="M979" s="214"/>
    </row>
    <row r="980" customFormat="false" ht="14.25" hidden="false" customHeight="true" outlineLevel="0" collapsed="false">
      <c r="M980" s="214"/>
    </row>
    <row r="981" customFormat="false" ht="14.25" hidden="false" customHeight="true" outlineLevel="0" collapsed="false">
      <c r="M981" s="214"/>
    </row>
    <row r="982" customFormat="false" ht="14.25" hidden="false" customHeight="true" outlineLevel="0" collapsed="false">
      <c r="M982" s="214"/>
    </row>
    <row r="983" customFormat="false" ht="14.25" hidden="false" customHeight="true" outlineLevel="0" collapsed="false">
      <c r="M983" s="214"/>
    </row>
    <row r="984" customFormat="false" ht="14.25" hidden="false" customHeight="true" outlineLevel="0" collapsed="false">
      <c r="M984" s="214"/>
    </row>
    <row r="985" customFormat="false" ht="14.25" hidden="false" customHeight="true" outlineLevel="0" collapsed="false">
      <c r="M985" s="214"/>
    </row>
    <row r="986" customFormat="false" ht="14.25" hidden="false" customHeight="true" outlineLevel="0" collapsed="false">
      <c r="M986" s="214"/>
    </row>
    <row r="987" customFormat="false" ht="14.25" hidden="false" customHeight="true" outlineLevel="0" collapsed="false">
      <c r="M987" s="214"/>
    </row>
    <row r="988" customFormat="false" ht="14.25" hidden="false" customHeight="true" outlineLevel="0" collapsed="false">
      <c r="M988" s="214"/>
    </row>
    <row r="989" customFormat="false" ht="14.25" hidden="false" customHeight="true" outlineLevel="0" collapsed="false">
      <c r="M989" s="214"/>
    </row>
    <row r="990" customFormat="false" ht="14.25" hidden="false" customHeight="true" outlineLevel="0" collapsed="false">
      <c r="M990" s="214"/>
    </row>
    <row r="991" customFormat="false" ht="14.25" hidden="false" customHeight="true" outlineLevel="0" collapsed="false">
      <c r="M991" s="214"/>
    </row>
    <row r="992" customFormat="false" ht="14.25" hidden="false" customHeight="true" outlineLevel="0" collapsed="false">
      <c r="M992" s="214"/>
    </row>
    <row r="993" customFormat="false" ht="14.25" hidden="false" customHeight="true" outlineLevel="0" collapsed="false">
      <c r="M993" s="214"/>
    </row>
    <row r="994" customFormat="false" ht="14.25" hidden="false" customHeight="true" outlineLevel="0" collapsed="false">
      <c r="M994" s="214"/>
    </row>
    <row r="995" customFormat="false" ht="14.25" hidden="false" customHeight="true" outlineLevel="0" collapsed="false">
      <c r="M995" s="214"/>
    </row>
    <row r="996" customFormat="false" ht="14.25" hidden="false" customHeight="true" outlineLevel="0" collapsed="false">
      <c r="M996" s="214"/>
    </row>
    <row r="997" customFormat="false" ht="14.25" hidden="false" customHeight="true" outlineLevel="0" collapsed="false">
      <c r="M997" s="214"/>
    </row>
    <row r="998" customFormat="false" ht="14.25" hidden="false" customHeight="true" outlineLevel="0" collapsed="false">
      <c r="M998" s="214"/>
    </row>
    <row r="999" customFormat="false" ht="14.25" hidden="false" customHeight="true" outlineLevel="0" collapsed="false">
      <c r="M999" s="214"/>
    </row>
    <row r="1000" customFormat="false" ht="14.25" hidden="false" customHeight="true" outlineLevel="0" collapsed="false">
      <c r="M1000" s="214"/>
    </row>
  </sheetData>
  <mergeCells count="1">
    <mergeCell ref="D4:E4"/>
  </mergeCells>
  <conditionalFormatting sqref="D5:D65">
    <cfRule type="cellIs" priority="2" operator="greaterThanOrEqual" aboveAverage="0" equalAverage="0" bottom="0" percent="0" rank="0" text="" dxfId="0">
      <formula>80</formula>
    </cfRule>
  </conditionalFormatting>
  <conditionalFormatting sqref="F66:F67">
    <cfRule type="cellIs" priority="3" operator="equal" aboveAverage="0" equalAverage="0" bottom="0" percent="0" rank="0" text="" dxfId="1">
      <formula>"NOT ODL"</formula>
    </cfRule>
    <cfRule type="cellIs" priority="4" operator="equal" aboveAverage="0" equalAverage="0" bottom="0" percent="0" rank="0" text="" dxfId="2">
      <formula>"ODL"</formula>
    </cfRule>
  </conditionalFormatting>
  <conditionalFormatting sqref="E68">
    <cfRule type="cellIs" priority="5" operator="greaterThanOrEqual" aboveAverage="0" equalAverage="0" bottom="0" percent="0" rank="0" text="" dxfId="3">
      <formula>60</formula>
    </cfRule>
  </conditionalFormatting>
  <conditionalFormatting sqref="E68">
    <cfRule type="cellIs" priority="6" operator="lessThan" aboveAverage="0" equalAverage="0" bottom="0" percent="0" rank="0" text="" dxfId="4">
      <formula>60</formula>
    </cfRule>
  </conditionalFormatting>
  <hyperlinks>
    <hyperlink ref="B2" location="GUIDE!A1" display="GUIDE"/>
    <hyperlink ref="B3" location="FORM!A1" display="FORM"/>
    <hyperlink ref="B4" location="INDEX!A1" display="INDEX"/>
  </hyperlinks>
  <printOptions headings="false" gridLines="false" gridLinesSet="true" horizontalCentered="false" verticalCentered="false"/>
  <pageMargins left="0.240277777777778" right="0.236111111111111" top="0.747916666666667" bottom="0.747916666666667" header="0.511811023622047" footer="0.511811023622047"/>
  <pageSetup paperSize="9" scale="46"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756BAB1BB29B4A8ED368DEC86CB213" ma:contentTypeVersion="3" ma:contentTypeDescription="Create a new document." ma:contentTypeScope="" ma:versionID="26d878c5f40073fe668c8ae32e53f389">
  <xsd:schema xmlns:xsd="http://www.w3.org/2001/XMLSchema" xmlns:xs="http://www.w3.org/2001/XMLSchema" xmlns:p="http://schemas.microsoft.com/office/2006/metadata/properties" xmlns:ns2="a9fc0d9b-c1dc-4cc9-9c63-1be39298436d" targetNamespace="http://schemas.microsoft.com/office/2006/metadata/properties" ma:root="true" ma:fieldsID="4d4e9e94062a8696d4f0e920e4f8124d" ns2:_="">
    <xsd:import namespace="a9fc0d9b-c1dc-4cc9-9c63-1be39298436d"/>
    <xsd:element name="properties">
      <xsd:complexType>
        <xsd:sequence>
          <xsd:element name="documentManagement">
            <xsd:complexType>
              <xsd:all>
                <xsd:element ref="ns2:Prosedur"/>
                <xsd:element ref="ns2:Jenis_x0020_Dokume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c0d9b-c1dc-4cc9-9c63-1be39298436d" elementFormDefault="qualified">
    <xsd:import namespace="http://schemas.microsoft.com/office/2006/documentManagement/types"/>
    <xsd:import namespace="http://schemas.microsoft.com/office/infopath/2007/PartnerControls"/>
    <xsd:element name="Prosedur" ma:index="8" ma:displayName="Prosedur" ma:default="- Sila Pilih -" ma:format="Dropdown" ma:internalName="Prosedur">
      <xsd:simpleType>
        <xsd:restriction base="dms:Choice">
          <xsd:enumeration value="- Sila Pilih -"/>
          <xsd:enumeration value="Info Pembangunan Kurikulum"/>
          <xsd:enumeration value="Kursus Micro-credential"/>
          <xsd:enumeration value="Pelantikan Lembaga Pengajian, Penasihat Luar, Penilai Luar dan Lembaga Penasihat Program Pengajian"/>
          <xsd:enumeration value="Pembelajaran Terbuka dan Jarak Jauh (ODL)"/>
          <xsd:enumeration value="Proforma Kursus"/>
          <xsd:enumeration value="Program Akademik"/>
          <xsd:enumeration value="Program Sijil Profesional"/>
          <xsd:enumeration value="Ruang AktivUKM"/>
          <xsd:enumeration value="UKM Folio"/>
          <xsd:enumeration value="UKM Massive Open Online Courses (UKM MOOC)"/>
        </xsd:restriction>
      </xsd:simpleType>
    </xsd:element>
    <xsd:element name="Jenis_x0020_Dokumen" ma:index="9" ma:displayName="Jenis Dokumen" ma:default="- Sila Pilih -" ma:format="Dropdown" ma:internalName="Jenis_x0020_Dokumen">
      <xsd:simpleType>
        <xsd:restriction base="dms:Choice">
          <xsd:enumeration value="- Sila Pilih -"/>
          <xsd:enumeration value="01-Garis Panduan"/>
          <xsd:enumeration value="02-Borang"/>
          <xsd:enumeration value="03-Lampiran"/>
          <xsd:enumeration value="04-Senarai Semak"/>
          <xsd:enumeration value="05-Manual Operasi"/>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Perkara"/>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Jenis_x0020_Dokumen xmlns="a9fc0d9b-c1dc-4cc9-9c63-1be39298436d">02-Borang</Jenis_x0020_Dokumen>
    <Prosedur xmlns="a9fc0d9b-c1dc-4cc9-9c63-1be39298436d">Program Akademik</Prosedur>
  </documentManagement>
</p:properties>
</file>

<file path=customXml/itemProps1.xml><?xml version="1.0" encoding="utf-8"?>
<ds:datastoreItem xmlns:ds="http://schemas.openxmlformats.org/officeDocument/2006/customXml" ds:itemID="{8E4B5970-D4C1-4014-A760-1327741B2721}"/>
</file>

<file path=customXml/itemProps2.xml><?xml version="1.0" encoding="utf-8"?>
<ds:datastoreItem xmlns:ds="http://schemas.openxmlformats.org/officeDocument/2006/customXml" ds:itemID="{257F9F5F-15D9-45D0-B82D-7B3EF701F031}"/>
</file>

<file path=customXml/itemProps3.xml><?xml version="1.0" encoding="utf-8"?>
<ds:datastoreItem xmlns:ds="http://schemas.openxmlformats.org/officeDocument/2006/customXml" ds:itemID="{03DF4925-051D-45D0-A784-EA1CEF03676D}"/>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2017-08-28T09:44:14Z</dcterms:created>
  <dc:creator>Fazilah CF</dc:creator>
  <dc:description/>
  <dc:language>en-US</dc:language>
  <cp:lastModifiedBy>user</cp:lastModifiedBy>
  <cp:lastPrinted>2024-11-15T03:17:22Z</cp:lastPrinted>
  <dcterms:modified xsi:type="dcterms:W3CDTF">2025-07-30T06:16:33Z</dcterms:modified>
  <cp:revision>0</cp:revision>
  <dc:subject/>
  <dc:title>Jadual 4 (Table 4)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0x01010096756BAB1BB29B4A8ED368DEC86CB213</vt:lpwstr>
  </property>
  <property fmtid="{D5CDD505-2E9C-101B-9397-08002B2CF9AE}" pid="3" name="_NewReviewCycle">
    <vt:lpwstr/>
  </property>
</Properties>
</file>